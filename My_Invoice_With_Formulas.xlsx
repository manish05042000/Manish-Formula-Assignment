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s\Downloads\"/>
    </mc:Choice>
  </mc:AlternateContent>
  <xr:revisionPtr revIDLastSave="0" documentId="13_ncr:1_{4E9FD128-FBFB-41D5-B072-4E56B7CCDF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ill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6" i="1" l="1"/>
  <c r="J24" i="1"/>
  <c r="O24" i="1" s="1"/>
  <c r="J21" i="1"/>
  <c r="J26" i="1" l="1"/>
  <c r="O21" i="1"/>
  <c r="O26" i="1" s="1"/>
</calcChain>
</file>

<file path=xl/sharedStrings.xml><?xml version="1.0" encoding="utf-8"?>
<sst xmlns="http://schemas.openxmlformats.org/spreadsheetml/2006/main" count="77" uniqueCount="73">
  <si>
    <t>GUJARAT FREIGHT TOOLS</t>
  </si>
  <si>
    <t>Manufacturing &amp; Supply of Precision Press Tool &amp; Room Component</t>
  </si>
  <si>
    <t>Plot No A 64, Road No 21,                                                                                                                                                                                                                                                                                                                                                        Wagle Indl Estate,                                                                                                                                                                                                                                                                                                                  Mumbai, Maharashtra, 400604</t>
  </si>
  <si>
    <t>Tel: 02225820309                          Web: www.logobuld.com                                                                                                                                                                                                                                                                                                                         Web: info@gft.com</t>
  </si>
  <si>
    <t>PAN: 26CORPP3636N1</t>
  </si>
  <si>
    <t>TAX INVOICE</t>
  </si>
  <si>
    <t>ORIGINAL FOR RECIPIENT</t>
  </si>
  <si>
    <t>Customer Detail</t>
  </si>
  <si>
    <t>Invoice No.</t>
  </si>
  <si>
    <t>GST-3425-26</t>
  </si>
  <si>
    <t>Invoice Date</t>
  </si>
  <si>
    <t>M/S</t>
  </si>
  <si>
    <t>Shiv Engineering</t>
  </si>
  <si>
    <t xml:space="preserve">Challan No. </t>
  </si>
  <si>
    <t>Address</t>
  </si>
  <si>
    <t xml:space="preserve">Sumel Business Park 7, Kochi, Kerala - 380023                                                                                                                                                                                     </t>
  </si>
  <si>
    <t xml:space="preserve">E-way Bill No. </t>
  </si>
  <si>
    <t>Challan Date</t>
  </si>
  <si>
    <t>Transport</t>
  </si>
  <si>
    <t>Silver Roadlines</t>
  </si>
  <si>
    <t>Phone</t>
  </si>
  <si>
    <t>Transport ID</t>
  </si>
  <si>
    <t>24ABSFS0321B2ZL</t>
  </si>
  <si>
    <t>GSTIN</t>
  </si>
  <si>
    <t>32AABBA7890B1ZB</t>
  </si>
  <si>
    <t>Place of Supply</t>
  </si>
  <si>
    <t>Kerala ( 32 )</t>
  </si>
  <si>
    <t>Sr. No</t>
  </si>
  <si>
    <t>Name of the Product / Service</t>
  </si>
  <si>
    <t>HSN / SAC</t>
  </si>
  <si>
    <t>Qty</t>
  </si>
  <si>
    <t>Rate</t>
  </si>
  <si>
    <t>Taxable Value</t>
  </si>
  <si>
    <t>IGST</t>
  </si>
  <si>
    <t>Total</t>
  </si>
  <si>
    <t>%</t>
  </si>
  <si>
    <t>Amount</t>
  </si>
  <si>
    <t>Bosch All-in-One Metal Hand Tool Kit</t>
  </si>
  <si>
    <t>1NOS</t>
  </si>
  <si>
    <t>18.00</t>
  </si>
  <si>
    <t>456.30</t>
  </si>
  <si>
    <t>Taparia Universal Tool Kit</t>
  </si>
  <si>
    <t>228.60</t>
  </si>
  <si>
    <t>2 NOS</t>
  </si>
  <si>
    <t>Total in Words</t>
  </si>
  <si>
    <t>Taxable Amount</t>
  </si>
  <si>
    <t>3,805.00</t>
  </si>
  <si>
    <t>FOUR THOUSAND FOUR HUNDRED AND NINETY RUPEES ONLY</t>
  </si>
  <si>
    <t>Add: IGST</t>
  </si>
  <si>
    <t>684.90</t>
  </si>
  <si>
    <t>Total Tax</t>
  </si>
  <si>
    <t>Bank Details</t>
  </si>
  <si>
    <t>Total Amount After Tax</t>
  </si>
  <si>
    <t>4,490.00</t>
  </si>
  <si>
    <t>Name</t>
  </si>
  <si>
    <t>ICICI</t>
  </si>
  <si>
    <t>(E &amp; O.E)</t>
  </si>
  <si>
    <t>Certified that the particulars given above are true and correct</t>
  </si>
  <si>
    <t>Branch</t>
  </si>
  <si>
    <t>Surate</t>
  </si>
  <si>
    <t>For Gujarat Freight Tools</t>
  </si>
  <si>
    <t>Acc. Number</t>
  </si>
  <si>
    <t>This is a computer generated invoice no signature required.</t>
  </si>
  <si>
    <t>IFSC</t>
  </si>
  <si>
    <t>ICICI045F</t>
  </si>
  <si>
    <t>UPI ID</t>
  </si>
  <si>
    <t>ifox@icici</t>
  </si>
  <si>
    <t>Terms &amp; Conditions</t>
  </si>
  <si>
    <t>Subject to Maharashtra Junction</t>
  </si>
  <si>
    <t>Our Responsibility Ceases as soon as goods leaves our Premises.</t>
  </si>
  <si>
    <t>Goods once sold will not taken back.</t>
  </si>
  <si>
    <t>Delivery Ex-Premises.</t>
  </si>
  <si>
    <t>Customer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</si>
</sst>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[$INR]\ 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ptos"/>
      <family val="2"/>
    </font>
    <font>
      <b/>
      <sz val="20"/>
      <color theme="1"/>
      <name val="Aptos"/>
      <family val="2"/>
    </font>
    <font>
      <sz val="14"/>
      <color theme="1"/>
      <name val="Aptos Narrow"/>
      <family val="2"/>
    </font>
    <font>
      <sz val="11"/>
      <color theme="1"/>
      <name val="Aptos"/>
      <family val="2"/>
    </font>
    <font>
      <b/>
      <sz val="14"/>
      <color theme="0"/>
      <name val="Calibri"/>
      <family val="2"/>
      <scheme val="minor"/>
    </font>
    <font>
      <b/>
      <sz val="26"/>
      <color theme="4" tint="-0.499984740745262"/>
      <name val="Baskerville Old Face"/>
      <family val="1"/>
    </font>
  </fonts>
  <fills count="3">
    <fill>
      <patternFill patternType="none"/>
    </fill>
    <fill>
      <patternFill patternType="gray125"/>
    </fill>
    <fill>
      <patternFill patternType="solid">
        <fgColor rgb="FF33CC33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2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" xfId="0" applyBorder="1"/>
    <xf numFmtId="0" fontId="0" fillId="0" borderId="4" xfId="0" applyBorder="1"/>
    <xf numFmtId="0" fontId="0" fillId="0" borderId="0" xfId="0" applyAlignment="1">
      <alignment horizontal="left" vertical="top"/>
    </xf>
    <xf numFmtId="0" fontId="0" fillId="0" borderId="6" xfId="0" applyBorder="1"/>
    <xf numFmtId="0" fontId="2" fillId="0" borderId="10" xfId="0" applyFont="1" applyBorder="1"/>
    <xf numFmtId="0" fontId="0" fillId="0" borderId="10" xfId="0" applyBorder="1"/>
    <xf numFmtId="0" fontId="2" fillId="0" borderId="11" xfId="0" applyFont="1" applyBorder="1"/>
    <xf numFmtId="0" fontId="0" fillId="0" borderId="11" xfId="0" applyBorder="1"/>
    <xf numFmtId="0" fontId="2" fillId="0" borderId="0" xfId="0" applyFont="1"/>
    <xf numFmtId="0" fontId="1" fillId="0" borderId="10" xfId="0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0" fontId="1" fillId="0" borderId="12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 vertical="center"/>
    </xf>
    <xf numFmtId="0" fontId="0" fillId="0" borderId="5" xfId="0" applyBorder="1"/>
    <xf numFmtId="0" fontId="0" fillId="0" borderId="13" xfId="0" applyBorder="1"/>
    <xf numFmtId="0" fontId="0" fillId="0" borderId="14" xfId="0" applyBorder="1"/>
    <xf numFmtId="0" fontId="0" fillId="0" borderId="13" xfId="0" quotePrefix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vertical="center"/>
    </xf>
    <xf numFmtId="0" fontId="1" fillId="0" borderId="3" xfId="0" applyFont="1" applyBorder="1" applyAlignment="1">
      <alignment wrapText="1"/>
    </xf>
    <xf numFmtId="0" fontId="0" fillId="0" borderId="0" xfId="0" applyAlignment="1">
      <alignment vertical="top"/>
    </xf>
    <xf numFmtId="0" fontId="1" fillId="0" borderId="5" xfId="0" applyFont="1" applyBorder="1"/>
    <xf numFmtId="0" fontId="0" fillId="0" borderId="4" xfId="0" applyBorder="1" applyAlignment="1">
      <alignment vertical="top"/>
    </xf>
    <xf numFmtId="0" fontId="0" fillId="0" borderId="7" xfId="0" applyBorder="1"/>
    <xf numFmtId="0" fontId="1" fillId="0" borderId="8" xfId="0" applyFont="1" applyBorder="1"/>
    <xf numFmtId="0" fontId="0" fillId="0" borderId="8" xfId="0" applyBorder="1"/>
    <xf numFmtId="0" fontId="1" fillId="0" borderId="11" xfId="0" applyFont="1" applyBorder="1" applyAlignment="1">
      <alignment horizontal="left"/>
    </xf>
    <xf numFmtId="0" fontId="0" fillId="0" borderId="10" xfId="0" applyBorder="1"/>
    <xf numFmtId="0" fontId="0" fillId="0" borderId="5" xfId="0" applyBorder="1" applyAlignment="1">
      <alignment horizontal="center"/>
    </xf>
    <xf numFmtId="0" fontId="0" fillId="0" borderId="0" xfId="0"/>
    <xf numFmtId="0" fontId="1" fillId="0" borderId="12" xfId="0" applyFont="1" applyBorder="1" applyAlignment="1">
      <alignment horizontal="right"/>
    </xf>
    <xf numFmtId="0" fontId="0" fillId="0" borderId="9" xfId="0" applyBorder="1"/>
    <xf numFmtId="0" fontId="3" fillId="0" borderId="14" xfId="0" applyFont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0" fillId="0" borderId="1" xfId="0" applyBorder="1"/>
    <xf numFmtId="0" fontId="0" fillId="2" borderId="0" xfId="0" applyFill="1" applyAlignment="1">
      <alignment horizontal="center"/>
    </xf>
    <xf numFmtId="0" fontId="1" fillId="0" borderId="9" xfId="0" quotePrefix="1" applyFont="1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7" xfId="0" applyBorder="1"/>
    <xf numFmtId="0" fontId="0" fillId="0" borderId="6" xfId="0" applyBorder="1"/>
    <xf numFmtId="0" fontId="1" fillId="0" borderId="11" xfId="0" applyFont="1" applyBorder="1" applyAlignment="1">
      <alignment horizontal="left" vertical="top"/>
    </xf>
    <xf numFmtId="0" fontId="1" fillId="0" borderId="12" xfId="0" quotePrefix="1" applyFont="1" applyBorder="1" applyAlignment="1">
      <alignment horizontal="right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" fillId="0" borderId="7" xfId="0" applyFont="1" applyBorder="1" applyAlignment="1">
      <alignment horizontal="left" vertical="top"/>
    </xf>
    <xf numFmtId="0" fontId="2" fillId="0" borderId="11" xfId="0" applyFont="1" applyBorder="1" applyAlignment="1">
      <alignment horizontal="left"/>
    </xf>
    <xf numFmtId="0" fontId="7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left" vertical="top"/>
    </xf>
    <xf numFmtId="0" fontId="0" fillId="0" borderId="14" xfId="0" applyBorder="1"/>
    <xf numFmtId="165" fontId="3" fillId="0" borderId="9" xfId="0" quotePrefix="1" applyNumberFormat="1" applyFont="1" applyBorder="1" applyAlignment="1">
      <alignment horizontal="right"/>
    </xf>
    <xf numFmtId="0" fontId="10" fillId="2" borderId="0" xfId="0" applyFont="1" applyFill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0" fillId="0" borderId="15" xfId="0" quotePrefix="1" applyBorder="1" applyAlignment="1">
      <alignment horizontal="right"/>
    </xf>
    <xf numFmtId="4" fontId="0" fillId="0" borderId="13" xfId="0" applyNumberForma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0" fillId="0" borderId="17" xfId="0" applyBorder="1"/>
    <xf numFmtId="0" fontId="0" fillId="0" borderId="8" xfId="0" applyBorder="1" applyAlignment="1">
      <alignment horizontal="left" vertical="top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5" xfId="0" applyBorder="1"/>
    <xf numFmtId="0" fontId="0" fillId="0" borderId="12" xfId="0" applyBorder="1" applyAlignment="1">
      <alignment horizont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right" wrapText="1"/>
    </xf>
    <xf numFmtId="0" fontId="4" fillId="0" borderId="11" xfId="0" applyFont="1" applyBorder="1" applyAlignment="1">
      <alignment horizontal="left"/>
    </xf>
    <xf numFmtId="0" fontId="1" fillId="0" borderId="10" xfId="0" applyFont="1" applyBorder="1" applyAlignment="1">
      <alignment horizontal="right"/>
    </xf>
    <xf numFmtId="0" fontId="1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0" fillId="0" borderId="9" xfId="0" applyBorder="1" applyAlignment="1">
      <alignment horizontal="center"/>
    </xf>
    <xf numFmtId="0" fontId="0" fillId="0" borderId="13" xfId="0" quotePrefix="1" applyBorder="1" applyAlignment="1">
      <alignment horizontal="right"/>
    </xf>
    <xf numFmtId="4" fontId="0" fillId="0" borderId="15" xfId="0" applyNumberFormat="1" applyBorder="1" applyAlignment="1">
      <alignment horizontal="center"/>
    </xf>
    <xf numFmtId="0" fontId="6" fillId="0" borderId="9" xfId="0" applyFont="1" applyBorder="1" applyAlignment="1">
      <alignment horizontal="right" vertical="center"/>
    </xf>
    <xf numFmtId="164" fontId="0" fillId="0" borderId="7" xfId="0" applyNumberFormat="1" applyBorder="1" applyAlignment="1">
      <alignment horizontal="center"/>
    </xf>
    <xf numFmtId="0" fontId="0" fillId="0" borderId="3" xfId="0" applyBorder="1" applyAlignment="1">
      <alignment horizontal="left" vertical="top"/>
    </xf>
    <xf numFmtId="0" fontId="0" fillId="0" borderId="12" xfId="0" applyBorder="1" applyAlignment="1">
      <alignment horizontal="center" vertical="center" textRotation="31" wrapText="1"/>
    </xf>
    <xf numFmtId="0" fontId="0" fillId="0" borderId="2" xfId="0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163285</xdr:colOff>
      <xdr:row>31</xdr:row>
      <xdr:rowOff>57604</xdr:rowOff>
    </xdr:from>
    <xdr:ext cx="1556657" cy="1753642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1685" y="7555684"/>
          <a:ext cx="1556657" cy="175364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402771</xdr:colOff>
      <xdr:row>1</xdr:row>
      <xdr:rowOff>0</xdr:rowOff>
    </xdr:from>
    <xdr:ext cx="1447800" cy="1215833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27571" y="182880"/>
          <a:ext cx="1447800" cy="1215833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R47"/>
  <sheetViews>
    <sheetView showGridLines="0" tabSelected="1" zoomScaleNormal="100" workbookViewId="0">
      <selection activeCell="T23" sqref="T23"/>
    </sheetView>
  </sheetViews>
  <sheetFormatPr defaultRowHeight="14.4" x14ac:dyDescent="0.3"/>
  <cols>
    <col min="2" max="2" width="11" bestFit="1" customWidth="1"/>
    <col min="3" max="3" width="12.109375" bestFit="1" customWidth="1"/>
  </cols>
  <sheetData>
    <row r="2" spans="1:18" x14ac:dyDescent="0.3">
      <c r="B2" s="81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94"/>
      <c r="O2" s="38"/>
      <c r="P2" s="38"/>
      <c r="Q2" s="38"/>
    </row>
    <row r="3" spans="1:18" x14ac:dyDescent="0.3"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</row>
    <row r="4" spans="1:18" x14ac:dyDescent="0.3">
      <c r="B4" s="64" t="s">
        <v>1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46"/>
    </row>
    <row r="5" spans="1:18" x14ac:dyDescent="0.3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</row>
    <row r="6" spans="1:18" ht="14.4" customHeight="1" x14ac:dyDescent="0.3">
      <c r="B6" s="86" t="s">
        <v>2</v>
      </c>
      <c r="C6" s="38"/>
      <c r="D6" s="38"/>
      <c r="E6" s="38"/>
      <c r="F6" s="38"/>
      <c r="K6" s="82" t="s">
        <v>3</v>
      </c>
      <c r="L6" s="38"/>
      <c r="M6" s="38"/>
      <c r="N6" s="38"/>
      <c r="O6" s="38"/>
      <c r="P6" s="38"/>
      <c r="Q6" s="38"/>
    </row>
    <row r="7" spans="1:18" x14ac:dyDescent="0.3">
      <c r="B7" s="38"/>
      <c r="C7" s="38"/>
      <c r="D7" s="38"/>
      <c r="E7" s="38"/>
      <c r="F7" s="38"/>
      <c r="K7" s="38"/>
      <c r="L7" s="38"/>
      <c r="M7" s="38"/>
      <c r="N7" s="38"/>
      <c r="O7" s="38"/>
      <c r="P7" s="38"/>
      <c r="Q7" s="38"/>
    </row>
    <row r="8" spans="1:18" ht="15" customHeight="1" thickBot="1" x14ac:dyDescent="0.35">
      <c r="B8" s="38"/>
      <c r="C8" s="38"/>
      <c r="D8" s="38"/>
      <c r="E8" s="38"/>
      <c r="F8" s="38"/>
      <c r="K8" s="38"/>
      <c r="L8" s="38"/>
      <c r="M8" s="38"/>
      <c r="N8" s="44"/>
      <c r="O8" s="44"/>
      <c r="P8" s="44"/>
      <c r="Q8" s="44"/>
    </row>
    <row r="9" spans="1:18" ht="14.4" customHeight="1" x14ac:dyDescent="0.3">
      <c r="A9" s="34"/>
      <c r="B9" s="65" t="s">
        <v>4</v>
      </c>
      <c r="C9" s="51"/>
      <c r="D9" s="51"/>
      <c r="E9" s="51"/>
      <c r="F9" s="51"/>
      <c r="G9" s="59" t="s">
        <v>5</v>
      </c>
      <c r="H9" s="51"/>
      <c r="I9" s="51"/>
      <c r="J9" s="90" t="s">
        <v>6</v>
      </c>
      <c r="K9" s="51"/>
      <c r="L9" s="51"/>
      <c r="M9" s="51"/>
      <c r="N9" s="51"/>
      <c r="O9" s="51"/>
      <c r="P9" s="51"/>
      <c r="Q9" s="52"/>
    </row>
    <row r="10" spans="1:18" ht="14.4" customHeight="1" thickBot="1" x14ac:dyDescent="0.35">
      <c r="A10" s="26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5"/>
    </row>
    <row r="11" spans="1:18" ht="16.2" customHeight="1" thickBot="1" x14ac:dyDescent="0.35">
      <c r="B11" s="73" t="s">
        <v>7</v>
      </c>
      <c r="C11" s="38"/>
      <c r="D11" s="38"/>
      <c r="E11" s="38"/>
      <c r="F11" s="74"/>
      <c r="G11" s="56" t="s">
        <v>8</v>
      </c>
      <c r="H11" s="51"/>
      <c r="I11" s="57" t="s">
        <v>9</v>
      </c>
      <c r="J11" s="51"/>
      <c r="K11" s="32"/>
      <c r="L11" s="32"/>
      <c r="M11" s="69" t="s">
        <v>10</v>
      </c>
      <c r="N11" s="51"/>
      <c r="O11" s="91">
        <v>45861</v>
      </c>
      <c r="P11" s="51"/>
      <c r="Q11" s="6"/>
    </row>
    <row r="12" spans="1:18" x14ac:dyDescent="0.3">
      <c r="A12" s="33" t="s">
        <v>11</v>
      </c>
      <c r="B12" s="32" t="s">
        <v>12</v>
      </c>
      <c r="C12" s="32"/>
      <c r="D12" s="32"/>
      <c r="E12" s="32"/>
      <c r="F12" s="6"/>
      <c r="G12" s="37" t="s">
        <v>13</v>
      </c>
      <c r="H12" s="38"/>
      <c r="I12" s="49">
        <v>33</v>
      </c>
      <c r="J12" s="38"/>
      <c r="Q12" s="4"/>
    </row>
    <row r="13" spans="1:18" x14ac:dyDescent="0.3">
      <c r="A13" s="30" t="s">
        <v>14</v>
      </c>
      <c r="B13" s="29" t="s">
        <v>15</v>
      </c>
      <c r="C13" s="29"/>
      <c r="D13" s="29"/>
      <c r="E13" s="29"/>
      <c r="F13" s="31"/>
      <c r="G13" s="37" t="s">
        <v>16</v>
      </c>
      <c r="H13" s="38"/>
      <c r="I13" s="49">
        <v>78456378</v>
      </c>
      <c r="J13" s="38"/>
      <c r="M13" s="77" t="s">
        <v>17</v>
      </c>
      <c r="N13" s="38"/>
      <c r="O13" s="95">
        <v>45861</v>
      </c>
      <c r="P13" s="38"/>
      <c r="Q13" s="4"/>
    </row>
    <row r="14" spans="1:18" x14ac:dyDescent="0.3">
      <c r="A14" s="30"/>
      <c r="B14" s="29"/>
      <c r="C14" s="29"/>
      <c r="D14" s="29"/>
      <c r="E14" s="29"/>
      <c r="F14" s="31"/>
      <c r="G14" s="37" t="s">
        <v>18</v>
      </c>
      <c r="H14" s="38"/>
      <c r="I14" s="49" t="s">
        <v>19</v>
      </c>
      <c r="J14" s="38"/>
      <c r="Q14" s="4"/>
    </row>
    <row r="15" spans="1:18" x14ac:dyDescent="0.3">
      <c r="A15" s="30" t="s">
        <v>20</v>
      </c>
      <c r="B15" s="29">
        <v>9878789878</v>
      </c>
      <c r="C15" s="29"/>
      <c r="F15" s="4"/>
      <c r="G15" s="37" t="s">
        <v>21</v>
      </c>
      <c r="H15" s="38"/>
      <c r="I15" s="49" t="s">
        <v>22</v>
      </c>
      <c r="J15" s="38"/>
      <c r="Q15" s="4"/>
    </row>
    <row r="16" spans="1:18" x14ac:dyDescent="0.3">
      <c r="A16" s="30" t="s">
        <v>23</v>
      </c>
      <c r="B16" s="29" t="s">
        <v>24</v>
      </c>
      <c r="C16" s="29"/>
      <c r="D16" s="29"/>
      <c r="F16" s="4"/>
      <c r="G16" s="19"/>
      <c r="Q16" s="4"/>
    </row>
    <row r="17" spans="1:17" ht="29.4" customHeight="1" thickBot="1" x14ac:dyDescent="0.35">
      <c r="A17" s="28" t="s">
        <v>25</v>
      </c>
      <c r="B17" s="27" t="s">
        <v>26</v>
      </c>
      <c r="C17" s="27"/>
      <c r="D17" s="25"/>
      <c r="E17" s="25"/>
      <c r="F17" s="3"/>
      <c r="G17" s="26"/>
      <c r="H17" s="25"/>
      <c r="I17" s="25"/>
      <c r="J17" s="25"/>
      <c r="K17" s="25"/>
      <c r="L17" s="25"/>
      <c r="M17" s="25"/>
      <c r="N17" s="25"/>
      <c r="O17" s="25"/>
      <c r="P17" s="25"/>
      <c r="Q17" s="3"/>
    </row>
    <row r="18" spans="1:17" ht="15" customHeight="1" thickBot="1" x14ac:dyDescent="0.35">
      <c r="A18" s="80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40"/>
    </row>
    <row r="19" spans="1:17" ht="15" customHeight="1" thickBot="1" x14ac:dyDescent="0.35">
      <c r="A19" s="60" t="s">
        <v>27</v>
      </c>
      <c r="B19" s="55" t="s">
        <v>28</v>
      </c>
      <c r="C19" s="51"/>
      <c r="D19" s="52"/>
      <c r="E19" s="60" t="s">
        <v>29</v>
      </c>
      <c r="F19" s="52"/>
      <c r="G19" s="60" t="s">
        <v>30</v>
      </c>
      <c r="H19" s="60" t="s">
        <v>31</v>
      </c>
      <c r="I19" s="52"/>
      <c r="J19" s="85" t="s">
        <v>32</v>
      </c>
      <c r="K19" s="51"/>
      <c r="L19" s="70" t="s">
        <v>33</v>
      </c>
      <c r="M19" s="36"/>
      <c r="N19" s="40"/>
      <c r="O19" s="55" t="s">
        <v>34</v>
      </c>
      <c r="P19" s="51"/>
      <c r="Q19" s="52"/>
    </row>
    <row r="20" spans="1:17" ht="15" customHeight="1" thickBot="1" x14ac:dyDescent="0.35">
      <c r="A20" s="62"/>
      <c r="B20" s="44"/>
      <c r="C20" s="44"/>
      <c r="D20" s="45"/>
      <c r="E20" s="43"/>
      <c r="F20" s="45"/>
      <c r="G20" s="62"/>
      <c r="H20" s="43"/>
      <c r="I20" s="45"/>
      <c r="J20" s="44"/>
      <c r="K20" s="44"/>
      <c r="L20" s="18" t="s">
        <v>35</v>
      </c>
      <c r="M20" s="70" t="s">
        <v>36</v>
      </c>
      <c r="N20" s="40"/>
      <c r="O20" s="44"/>
      <c r="P20" s="44"/>
      <c r="Q20" s="45"/>
    </row>
    <row r="21" spans="1:17" x14ac:dyDescent="0.3">
      <c r="A21" s="23">
        <v>1</v>
      </c>
      <c r="B21" s="68" t="s">
        <v>37</v>
      </c>
      <c r="C21" s="38"/>
      <c r="D21" s="42"/>
      <c r="E21" s="78">
        <v>8302</v>
      </c>
      <c r="F21" s="42"/>
      <c r="G21" s="23" t="s">
        <v>38</v>
      </c>
      <c r="H21" s="67">
        <v>2535</v>
      </c>
      <c r="I21" s="42"/>
      <c r="J21" s="89">
        <f>H21*VALUE(L21)/100</f>
        <v>456.3</v>
      </c>
      <c r="K21" s="52"/>
      <c r="L21" s="24" t="s">
        <v>39</v>
      </c>
      <c r="M21" s="66" t="s">
        <v>40</v>
      </c>
      <c r="N21" s="52"/>
      <c r="O21" s="66">
        <f>J21+M21</f>
        <v>912.6</v>
      </c>
      <c r="P21" s="51"/>
      <c r="Q21" s="52"/>
    </row>
    <row r="22" spans="1:17" x14ac:dyDescent="0.3">
      <c r="A22" s="23"/>
      <c r="B22" s="38"/>
      <c r="C22" s="38"/>
      <c r="D22" s="42"/>
      <c r="E22" s="79"/>
      <c r="F22" s="42"/>
      <c r="G22" s="20"/>
      <c r="H22" s="19"/>
      <c r="I22" s="4"/>
      <c r="J22" s="19"/>
      <c r="K22" s="4"/>
      <c r="L22" s="20"/>
      <c r="M22" s="19"/>
      <c r="N22" s="4"/>
      <c r="O22" s="19"/>
      <c r="Q22" s="4"/>
    </row>
    <row r="23" spans="1:17" x14ac:dyDescent="0.3">
      <c r="A23" s="20"/>
      <c r="D23" s="4"/>
      <c r="E23" s="19"/>
      <c r="F23" s="4"/>
      <c r="G23" s="20"/>
      <c r="H23" s="19"/>
      <c r="I23" s="4"/>
      <c r="J23" s="19"/>
      <c r="K23" s="4"/>
      <c r="L23" s="20"/>
      <c r="M23" s="19"/>
      <c r="N23" s="4"/>
      <c r="O23" s="19"/>
      <c r="Q23" s="4"/>
    </row>
    <row r="24" spans="1:17" x14ac:dyDescent="0.3">
      <c r="A24" s="23">
        <v>2</v>
      </c>
      <c r="B24" s="76" t="s">
        <v>41</v>
      </c>
      <c r="C24" s="38"/>
      <c r="D24" s="42"/>
      <c r="E24" s="48">
        <v>8302</v>
      </c>
      <c r="F24" s="42"/>
      <c r="G24" s="23" t="s">
        <v>38</v>
      </c>
      <c r="H24" s="67">
        <v>1270</v>
      </c>
      <c r="I24" s="42"/>
      <c r="J24" s="67">
        <f>H24*VALUE(L24)/100</f>
        <v>228.6</v>
      </c>
      <c r="K24" s="42"/>
      <c r="L24" s="22" t="s">
        <v>39</v>
      </c>
      <c r="M24" s="88" t="s">
        <v>42</v>
      </c>
      <c r="N24" s="42"/>
      <c r="O24" s="88">
        <f>J24+M24</f>
        <v>457.2</v>
      </c>
      <c r="P24" s="38"/>
      <c r="Q24" s="42"/>
    </row>
    <row r="25" spans="1:17" ht="15" customHeight="1" thickBot="1" x14ac:dyDescent="0.35">
      <c r="A25" s="21"/>
      <c r="D25" s="4"/>
      <c r="E25" s="19"/>
      <c r="F25" s="4"/>
      <c r="G25" s="20"/>
      <c r="H25" s="19"/>
      <c r="I25" s="4"/>
      <c r="J25" s="19"/>
      <c r="K25" s="4"/>
      <c r="L25" s="20"/>
      <c r="M25" s="19"/>
      <c r="N25" s="4"/>
      <c r="O25" s="19"/>
      <c r="Q25" s="4"/>
    </row>
    <row r="26" spans="1:17" ht="15" customHeight="1" thickBot="1" x14ac:dyDescent="0.35">
      <c r="A26" s="17"/>
      <c r="B26" s="84" t="s">
        <v>34</v>
      </c>
      <c r="C26" s="36"/>
      <c r="D26" s="36"/>
      <c r="E26" s="17"/>
      <c r="F26" s="16"/>
      <c r="G26" s="18" t="s">
        <v>43</v>
      </c>
      <c r="H26" s="17"/>
      <c r="I26" s="16"/>
      <c r="J26" s="54">
        <f>SUM(J21,J24)</f>
        <v>684.9</v>
      </c>
      <c r="K26" s="40"/>
      <c r="L26" s="15"/>
      <c r="M26" s="54">
        <f>SUM(M21,M24)</f>
        <v>0</v>
      </c>
      <c r="N26" s="40"/>
      <c r="O26" s="54">
        <f>SUM(O21,O24)</f>
        <v>1369.8</v>
      </c>
      <c r="P26" s="36"/>
      <c r="Q26" s="40"/>
    </row>
    <row r="27" spans="1:17" ht="15" customHeight="1" thickBot="1" x14ac:dyDescent="0.35">
      <c r="A27" s="10"/>
      <c r="B27" s="8"/>
      <c r="C27" s="8"/>
      <c r="D27" s="14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13"/>
    </row>
    <row r="28" spans="1:17" ht="15" customHeight="1" thickBot="1" x14ac:dyDescent="0.35">
      <c r="A28" s="70" t="s">
        <v>44</v>
      </c>
      <c r="B28" s="36"/>
      <c r="C28" s="36"/>
      <c r="D28" s="36"/>
      <c r="E28" s="36"/>
      <c r="F28" s="36"/>
      <c r="G28" s="36"/>
      <c r="H28" s="40"/>
      <c r="I28" s="53" t="s">
        <v>45</v>
      </c>
      <c r="J28" s="36"/>
      <c r="K28" s="36"/>
      <c r="L28" s="36"/>
      <c r="M28" s="36"/>
      <c r="N28" s="36"/>
      <c r="O28" s="8"/>
      <c r="P28" s="47" t="s">
        <v>46</v>
      </c>
      <c r="Q28" s="40"/>
    </row>
    <row r="29" spans="1:17" ht="15" customHeight="1" thickBot="1" x14ac:dyDescent="0.35">
      <c r="A29" s="72" t="s">
        <v>47</v>
      </c>
      <c r="B29" s="51"/>
      <c r="C29" s="51"/>
      <c r="D29" s="51"/>
      <c r="E29" s="51"/>
      <c r="F29" s="51"/>
      <c r="G29" s="51"/>
      <c r="H29" s="52"/>
      <c r="I29" s="35" t="s">
        <v>48</v>
      </c>
      <c r="J29" s="36"/>
      <c r="K29" s="12"/>
      <c r="L29" s="12"/>
      <c r="M29" s="12"/>
      <c r="N29" s="12"/>
      <c r="O29" s="8"/>
      <c r="P29" s="47" t="s">
        <v>49</v>
      </c>
      <c r="Q29" s="40"/>
    </row>
    <row r="30" spans="1:17" ht="15" customHeight="1" thickBot="1" x14ac:dyDescent="0.35">
      <c r="A30" s="43"/>
      <c r="B30" s="44"/>
      <c r="C30" s="44"/>
      <c r="D30" s="44"/>
      <c r="E30" s="44"/>
      <c r="F30" s="44"/>
      <c r="G30" s="44"/>
      <c r="H30" s="45"/>
      <c r="I30" s="35" t="s">
        <v>50</v>
      </c>
      <c r="J30" s="36"/>
      <c r="K30" s="12"/>
      <c r="L30" s="12"/>
      <c r="M30" s="12"/>
      <c r="N30" s="12"/>
      <c r="O30" s="8"/>
      <c r="P30" s="47" t="s">
        <v>49</v>
      </c>
      <c r="Q30" s="40"/>
    </row>
    <row r="31" spans="1:17" ht="18.600000000000001" customHeight="1" thickBot="1" x14ac:dyDescent="0.4">
      <c r="A31" s="60" t="s">
        <v>51</v>
      </c>
      <c r="B31" s="36"/>
      <c r="C31" s="36"/>
      <c r="D31" s="36"/>
      <c r="E31" s="36"/>
      <c r="F31" s="36"/>
      <c r="G31" s="36"/>
      <c r="H31" s="40"/>
      <c r="I31" s="83" t="s">
        <v>52</v>
      </c>
      <c r="J31" s="36"/>
      <c r="K31" s="36"/>
      <c r="L31" s="12"/>
      <c r="M31" s="12"/>
      <c r="N31" s="12"/>
      <c r="O31" s="8"/>
      <c r="P31" s="63" t="s">
        <v>53</v>
      </c>
      <c r="Q31" s="40"/>
    </row>
    <row r="32" spans="1:17" ht="16.2" customHeight="1" thickBot="1" x14ac:dyDescent="0.35">
      <c r="A32" s="11" t="s">
        <v>54</v>
      </c>
      <c r="C32" s="11" t="s">
        <v>55</v>
      </c>
      <c r="D32" s="87"/>
      <c r="E32" s="51"/>
      <c r="F32" s="51"/>
      <c r="G32" s="51"/>
      <c r="H32" s="52"/>
      <c r="I32" s="39" t="s">
        <v>56</v>
      </c>
      <c r="J32" s="36"/>
      <c r="K32" s="36"/>
      <c r="L32" s="36"/>
      <c r="M32" s="36"/>
      <c r="N32" s="36"/>
      <c r="O32" s="36"/>
      <c r="P32" s="36"/>
      <c r="Q32" s="40"/>
    </row>
    <row r="33" spans="1:17" ht="15" customHeight="1" thickBot="1" x14ac:dyDescent="0.35">
      <c r="A33" s="10"/>
      <c r="B33" s="8"/>
      <c r="C33" s="8"/>
      <c r="D33" s="38"/>
      <c r="E33" s="38"/>
      <c r="F33" s="38"/>
      <c r="G33" s="38"/>
      <c r="H33" s="42"/>
      <c r="I33" s="71" t="s">
        <v>57</v>
      </c>
      <c r="J33" s="51"/>
      <c r="K33" s="51"/>
      <c r="L33" s="51"/>
      <c r="M33" s="51"/>
      <c r="N33" s="51"/>
      <c r="O33" s="51"/>
      <c r="P33" s="51"/>
      <c r="Q33" s="52"/>
    </row>
    <row r="34" spans="1:17" ht="16.2" customHeight="1" thickBot="1" x14ac:dyDescent="0.35">
      <c r="A34" s="9" t="s">
        <v>58</v>
      </c>
      <c r="B34" s="8"/>
      <c r="C34" s="7" t="s">
        <v>59</v>
      </c>
      <c r="D34" s="38"/>
      <c r="E34" s="38"/>
      <c r="F34" s="38"/>
      <c r="G34" s="38"/>
      <c r="H34" s="42"/>
      <c r="I34" s="41" t="s">
        <v>60</v>
      </c>
      <c r="J34" s="38"/>
      <c r="K34" s="38"/>
      <c r="L34" s="38"/>
      <c r="M34" s="38"/>
      <c r="N34" s="38"/>
      <c r="O34" s="38"/>
      <c r="P34" s="38"/>
      <c r="Q34" s="42"/>
    </row>
    <row r="35" spans="1:17" ht="15" customHeight="1" thickBot="1" x14ac:dyDescent="0.35">
      <c r="A35" s="10"/>
      <c r="B35" s="8"/>
      <c r="C35" s="8"/>
      <c r="D35" s="38"/>
      <c r="E35" s="38"/>
      <c r="F35" s="38"/>
      <c r="G35" s="38"/>
      <c r="H35" s="42"/>
      <c r="I35" s="43"/>
      <c r="J35" s="44"/>
      <c r="K35" s="44"/>
      <c r="L35" s="44"/>
      <c r="M35" s="44"/>
      <c r="N35" s="44"/>
      <c r="O35" s="44"/>
      <c r="P35" s="44"/>
      <c r="Q35" s="45"/>
    </row>
    <row r="36" spans="1:17" ht="16.2" customHeight="1" thickBot="1" x14ac:dyDescent="0.35">
      <c r="A36" s="58" t="s">
        <v>61</v>
      </c>
      <c r="B36" s="36"/>
      <c r="C36" s="7">
        <v>2715500356</v>
      </c>
      <c r="D36" s="38"/>
      <c r="E36" s="38"/>
      <c r="F36" s="38"/>
      <c r="G36" s="38"/>
      <c r="H36" s="42"/>
      <c r="I36" s="93" t="s">
        <v>62</v>
      </c>
      <c r="J36" s="51"/>
      <c r="K36" s="51"/>
      <c r="L36" s="51"/>
      <c r="M36" s="51"/>
      <c r="N36" s="51"/>
      <c r="O36" s="51"/>
      <c r="P36" s="51"/>
      <c r="Q36" s="52"/>
    </row>
    <row r="37" spans="1:17" ht="15" customHeight="1" thickBot="1" x14ac:dyDescent="0.35">
      <c r="A37" s="10"/>
      <c r="B37" s="8"/>
      <c r="C37" s="8"/>
      <c r="D37" s="38"/>
      <c r="E37" s="38"/>
      <c r="F37" s="38"/>
      <c r="G37" s="38"/>
      <c r="H37" s="42"/>
      <c r="I37" s="79"/>
      <c r="J37" s="38"/>
      <c r="K37" s="38"/>
      <c r="L37" s="38"/>
      <c r="M37" s="38"/>
      <c r="N37" s="38"/>
      <c r="O37" s="38"/>
      <c r="P37" s="38"/>
      <c r="Q37" s="42"/>
    </row>
    <row r="38" spans="1:17" ht="16.2" customHeight="1" thickBot="1" x14ac:dyDescent="0.35">
      <c r="A38" s="9" t="s">
        <v>63</v>
      </c>
      <c r="B38" s="8"/>
      <c r="C38" s="7" t="s">
        <v>64</v>
      </c>
      <c r="D38" s="38"/>
      <c r="E38" s="38"/>
      <c r="F38" s="38"/>
      <c r="G38" s="38"/>
      <c r="H38" s="42"/>
      <c r="I38" s="79"/>
      <c r="J38" s="38"/>
      <c r="K38" s="38"/>
      <c r="L38" s="38"/>
      <c r="M38" s="38"/>
      <c r="N38" s="38"/>
      <c r="O38" s="38"/>
      <c r="P38" s="38"/>
      <c r="Q38" s="42"/>
    </row>
    <row r="39" spans="1:17" ht="15" customHeight="1" thickBot="1" x14ac:dyDescent="0.35">
      <c r="A39" s="10"/>
      <c r="B39" s="8"/>
      <c r="C39" s="8"/>
      <c r="D39" s="38"/>
      <c r="E39" s="38"/>
      <c r="F39" s="38"/>
      <c r="G39" s="38"/>
      <c r="H39" s="42"/>
      <c r="I39" s="79"/>
      <c r="J39" s="38"/>
      <c r="K39" s="38"/>
      <c r="L39" s="38"/>
      <c r="M39" s="38"/>
      <c r="N39" s="38"/>
      <c r="O39" s="38"/>
      <c r="P39" s="38"/>
      <c r="Q39" s="42"/>
    </row>
    <row r="40" spans="1:17" ht="16.2" customHeight="1" thickBot="1" x14ac:dyDescent="0.35">
      <c r="A40" s="9" t="s">
        <v>65</v>
      </c>
      <c r="B40" s="8"/>
      <c r="C40" s="7" t="s">
        <v>66</v>
      </c>
      <c r="D40" s="44"/>
      <c r="E40" s="44"/>
      <c r="F40" s="44"/>
      <c r="G40" s="44"/>
      <c r="H40" s="45"/>
      <c r="I40" s="79"/>
      <c r="J40" s="38"/>
      <c r="K40" s="38"/>
      <c r="L40" s="38"/>
      <c r="M40" s="38"/>
      <c r="N40" s="38"/>
      <c r="O40" s="38"/>
      <c r="P40" s="38"/>
      <c r="Q40" s="42"/>
    </row>
    <row r="41" spans="1:17" ht="15" customHeight="1" thickBot="1" x14ac:dyDescent="0.35">
      <c r="A41" s="70" t="s">
        <v>67</v>
      </c>
      <c r="B41" s="36"/>
      <c r="C41" s="36"/>
      <c r="D41" s="36"/>
      <c r="E41" s="36"/>
      <c r="F41" s="36"/>
      <c r="G41" s="36"/>
      <c r="H41" s="40"/>
      <c r="I41" s="79"/>
      <c r="J41" s="38"/>
      <c r="K41" s="38"/>
      <c r="L41" s="38"/>
      <c r="M41" s="38"/>
      <c r="N41" s="38"/>
      <c r="O41" s="38"/>
      <c r="P41" s="38"/>
      <c r="Q41" s="42"/>
    </row>
    <row r="42" spans="1:17" x14ac:dyDescent="0.3">
      <c r="A42" s="75" t="s">
        <v>68</v>
      </c>
      <c r="B42" s="51"/>
      <c r="C42" s="51"/>
      <c r="D42" s="51"/>
      <c r="E42" s="2"/>
      <c r="F42" s="2"/>
      <c r="G42" s="2"/>
      <c r="H42" s="6"/>
      <c r="I42" s="79"/>
      <c r="J42" s="38"/>
      <c r="K42" s="38"/>
      <c r="L42" s="38"/>
      <c r="M42" s="38"/>
      <c r="N42" s="38"/>
      <c r="O42" s="38"/>
      <c r="P42" s="38"/>
      <c r="Q42" s="42"/>
    </row>
    <row r="43" spans="1:17" x14ac:dyDescent="0.3">
      <c r="A43" s="61" t="s">
        <v>69</v>
      </c>
      <c r="B43" s="38"/>
      <c r="C43" s="38"/>
      <c r="D43" s="38"/>
      <c r="E43" s="38"/>
      <c r="F43" s="38"/>
      <c r="G43" s="38"/>
      <c r="H43" s="4"/>
      <c r="I43" s="79"/>
      <c r="J43" s="38"/>
      <c r="K43" s="38"/>
      <c r="L43" s="38"/>
      <c r="M43" s="38"/>
      <c r="N43" s="38"/>
      <c r="O43" s="38"/>
      <c r="P43" s="38"/>
      <c r="Q43" s="42"/>
    </row>
    <row r="44" spans="1:17" x14ac:dyDescent="0.3">
      <c r="A44" s="61" t="s">
        <v>70</v>
      </c>
      <c r="B44" s="38"/>
      <c r="C44" s="38"/>
      <c r="D44" s="38"/>
      <c r="E44" s="5"/>
      <c r="F44" s="5"/>
      <c r="G44" s="5"/>
      <c r="H44" s="4"/>
      <c r="I44" s="79"/>
      <c r="J44" s="38"/>
      <c r="K44" s="38"/>
      <c r="L44" s="38"/>
      <c r="M44" s="38"/>
      <c r="N44" s="38"/>
      <c r="O44" s="38"/>
      <c r="P44" s="38"/>
      <c r="Q44" s="42"/>
    </row>
    <row r="45" spans="1:17" ht="15" customHeight="1" thickBot="1" x14ac:dyDescent="0.35">
      <c r="A45" s="92" t="s">
        <v>71</v>
      </c>
      <c r="B45" s="44"/>
      <c r="C45" s="44"/>
      <c r="D45" s="1"/>
      <c r="E45" s="1"/>
      <c r="F45" s="1"/>
      <c r="G45" s="1"/>
      <c r="H45" s="3"/>
      <c r="I45" s="79"/>
      <c r="J45" s="38"/>
      <c r="K45" s="38"/>
      <c r="L45" s="38"/>
      <c r="M45" s="38"/>
      <c r="N45" s="38"/>
      <c r="O45" s="38"/>
      <c r="P45" s="38"/>
      <c r="Q45" s="42"/>
    </row>
    <row r="46" spans="1:17" x14ac:dyDescent="0.3">
      <c r="A46" s="50" t="s">
        <v>72</v>
      </c>
      <c r="B46" s="51"/>
      <c r="C46" s="51"/>
      <c r="D46" s="51"/>
      <c r="E46" s="51"/>
      <c r="F46" s="51"/>
      <c r="G46" s="51"/>
      <c r="H46" s="52"/>
      <c r="I46" s="79"/>
      <c r="J46" s="38"/>
      <c r="K46" s="38"/>
      <c r="L46" s="38"/>
      <c r="M46" s="38"/>
      <c r="N46" s="38"/>
      <c r="O46" s="38"/>
      <c r="P46" s="38"/>
      <c r="Q46" s="42"/>
    </row>
    <row r="47" spans="1:17" ht="15" customHeight="1" thickBot="1" x14ac:dyDescent="0.35">
      <c r="A47" s="43"/>
      <c r="B47" s="44"/>
      <c r="C47" s="44"/>
      <c r="D47" s="44"/>
      <c r="E47" s="44"/>
      <c r="F47" s="44"/>
      <c r="G47" s="44"/>
      <c r="H47" s="45"/>
      <c r="I47" s="43"/>
      <c r="J47" s="44"/>
      <c r="K47" s="44"/>
      <c r="L47" s="44"/>
      <c r="M47" s="44"/>
      <c r="N47" s="44"/>
      <c r="O47" s="44"/>
      <c r="P47" s="44"/>
      <c r="Q47" s="45"/>
    </row>
  </sheetData>
  <mergeCells count="73">
    <mergeCell ref="A45:C45"/>
    <mergeCell ref="P30:Q30"/>
    <mergeCell ref="O24:Q24"/>
    <mergeCell ref="H24:I24"/>
    <mergeCell ref="L19:N19"/>
    <mergeCell ref="I36:Q47"/>
    <mergeCell ref="A28:H28"/>
    <mergeCell ref="E19:F20"/>
    <mergeCell ref="A31:H31"/>
    <mergeCell ref="P28:Q28"/>
    <mergeCell ref="J19:K20"/>
    <mergeCell ref="G14:H14"/>
    <mergeCell ref="I14:J14"/>
    <mergeCell ref="B6:F8"/>
    <mergeCell ref="M26:N26"/>
    <mergeCell ref="M24:N24"/>
    <mergeCell ref="J21:K21"/>
    <mergeCell ref="J9:Q10"/>
    <mergeCell ref="O11:P11"/>
    <mergeCell ref="B19:D20"/>
    <mergeCell ref="I13:J13"/>
    <mergeCell ref="N2:Q8"/>
    <mergeCell ref="O13:P13"/>
    <mergeCell ref="B2:M3"/>
    <mergeCell ref="G15:H15"/>
    <mergeCell ref="K6:M8"/>
    <mergeCell ref="I31:K31"/>
    <mergeCell ref="B26:D26"/>
    <mergeCell ref="I29:J29"/>
    <mergeCell ref="M13:N13"/>
    <mergeCell ref="E21:F22"/>
    <mergeCell ref="I12:J12"/>
    <mergeCell ref="M21:N21"/>
    <mergeCell ref="A18:Q18"/>
    <mergeCell ref="A19:A20"/>
    <mergeCell ref="A42:D42"/>
    <mergeCell ref="A41:H41"/>
    <mergeCell ref="G13:H13"/>
    <mergeCell ref="B24:D24"/>
    <mergeCell ref="J26:K26"/>
    <mergeCell ref="D32:H40"/>
    <mergeCell ref="E24:F24"/>
    <mergeCell ref="I15:J15"/>
    <mergeCell ref="A46:H47"/>
    <mergeCell ref="I28:N28"/>
    <mergeCell ref="O26:Q26"/>
    <mergeCell ref="O19:Q20"/>
    <mergeCell ref="A36:B36"/>
    <mergeCell ref="H19:I20"/>
    <mergeCell ref="A43:G43"/>
    <mergeCell ref="G19:G20"/>
    <mergeCell ref="P31:Q31"/>
    <mergeCell ref="A44:D44"/>
    <mergeCell ref="O21:Q21"/>
    <mergeCell ref="H21:I21"/>
    <mergeCell ref="B21:D22"/>
    <mergeCell ref="M20:N20"/>
    <mergeCell ref="I30:J30"/>
    <mergeCell ref="G12:H12"/>
    <mergeCell ref="I32:Q32"/>
    <mergeCell ref="I34:Q35"/>
    <mergeCell ref="R4:R5"/>
    <mergeCell ref="P29:Q29"/>
    <mergeCell ref="G11:H11"/>
    <mergeCell ref="I11:J11"/>
    <mergeCell ref="G9:I10"/>
    <mergeCell ref="B4:M5"/>
    <mergeCell ref="B9:F10"/>
    <mergeCell ref="M11:N11"/>
    <mergeCell ref="I33:Q33"/>
    <mergeCell ref="A29:H30"/>
    <mergeCell ref="J24:K24"/>
    <mergeCell ref="B11:F11"/>
  </mergeCells>
  <pageMargins left="0.25" right="0.25" top="0.75" bottom="0.75" header="0.3" footer="0.3"/>
  <pageSetup scale="61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Gavhale</dc:creator>
  <cp:lastModifiedBy>Manish Gavhale</cp:lastModifiedBy>
  <cp:lastPrinted>2026-07-15T19:26:16Z</cp:lastPrinted>
  <dcterms:created xsi:type="dcterms:W3CDTF">2026-06-30T14:50:47Z</dcterms:created>
  <dcterms:modified xsi:type="dcterms:W3CDTF">2026-07-15T19:35:25Z</dcterms:modified>
</cp:coreProperties>
</file>