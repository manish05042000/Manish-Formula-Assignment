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nis\Downloads\"/>
    </mc:Choice>
  </mc:AlternateContent>
  <xr:revisionPtr revIDLastSave="0" documentId="13_ncr:1_{8E98A91D-4330-4FBB-85DB-1EB44870193F}" xr6:coauthVersionLast="47" xr6:coauthVersionMax="47" xr10:uidLastSave="{00000000-0000-0000-0000-000000000000}"/>
  <bookViews>
    <workbookView xWindow="-108" yWindow="-108" windowWidth="23256" windowHeight="13176" xr2:uid="{86AE1145-2CB2-430A-B31B-E9632E6F926D}"/>
  </bookViews>
  <sheets>
    <sheet name="SumIF" sheetId="1" r:id="rId1"/>
  </sheets>
  <definedNames>
    <definedName name="_xlnm._FilterDatabase" localSheetId="0" hidden="1">SumIF!$A$1:$J$31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6" i="1" l="1"/>
  <c r="F45" i="1"/>
  <c r="F44" i="1"/>
  <c r="F43" i="1"/>
  <c r="F42" i="1"/>
  <c r="F40" i="1"/>
  <c r="F39" i="1"/>
  <c r="F38" i="1"/>
  <c r="F37" i="1"/>
  <c r="F36" i="1"/>
</calcChain>
</file>

<file path=xl/sharedStrings.xml><?xml version="1.0" encoding="utf-8"?>
<sst xmlns="http://schemas.openxmlformats.org/spreadsheetml/2006/main" count="228" uniqueCount="102">
  <si>
    <t>Order ID</t>
  </si>
  <si>
    <t>Date</t>
  </si>
  <si>
    <t>Salesperson</t>
  </si>
  <si>
    <t>Region</t>
  </si>
  <si>
    <t>Product</t>
  </si>
  <si>
    <t>Category</t>
  </si>
  <si>
    <t>Quantity</t>
  </si>
  <si>
    <t>Sales Amount</t>
  </si>
  <si>
    <t>Discount %</t>
  </si>
  <si>
    <t>Payment Mode</t>
  </si>
  <si>
    <t>O001</t>
  </si>
  <si>
    <t>Amit</t>
  </si>
  <si>
    <t>North</t>
  </si>
  <si>
    <t>Laptop</t>
  </si>
  <si>
    <t>Electronics</t>
  </si>
  <si>
    <t>UPI</t>
  </si>
  <si>
    <t>O002</t>
  </si>
  <si>
    <t>Neha</t>
  </si>
  <si>
    <t>South</t>
  </si>
  <si>
    <t>Mobile</t>
  </si>
  <si>
    <t>Card</t>
  </si>
  <si>
    <t>O003</t>
  </si>
  <si>
    <t>Rahul</t>
  </si>
  <si>
    <t>East</t>
  </si>
  <si>
    <t>Chair</t>
  </si>
  <si>
    <t>Furniture</t>
  </si>
  <si>
    <t>Cash</t>
  </si>
  <si>
    <t>O004</t>
  </si>
  <si>
    <t>Priya</t>
  </si>
  <si>
    <t>West</t>
  </si>
  <si>
    <t>Table</t>
  </si>
  <si>
    <t>O005</t>
  </si>
  <si>
    <t>Printer</t>
  </si>
  <si>
    <t>O006</t>
  </si>
  <si>
    <t>Desk</t>
  </si>
  <si>
    <t>O007</t>
  </si>
  <si>
    <t>Monitor</t>
  </si>
  <si>
    <t>O008</t>
  </si>
  <si>
    <t>Sofa</t>
  </si>
  <si>
    <t>O009</t>
  </si>
  <si>
    <t>Keyboard</t>
  </si>
  <si>
    <t>Accessories</t>
  </si>
  <si>
    <t>O010</t>
  </si>
  <si>
    <t>Mouse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</si>
  <si>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</si>
  <si>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</si>
  <si>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</si>
  <si>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</si>
  <si>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</si>
  <si>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</si>
  <si>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</si>
  <si>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</si>
  <si>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</si>
  <si>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</si>
  <si>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</si>
  <si>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</si>
  <si>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</si>
  <si>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</si>
  <si>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</si>
  <si>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</si>
  <si>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</si>
  <si>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</si>
  <si>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</si>
  <si>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</si>
  <si>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Practice Questions</t>
  </si>
  <si>
    <t>COUNTIF</t>
  </si>
  <si>
    <r>
      <t xml:space="preserve">1. Count the number of orders from the </t>
    </r>
    <r>
      <rPr>
        <b/>
        <sz val="11"/>
        <color theme="1"/>
        <rFont val="Calibri"/>
        <scheme val="minor"/>
      </rPr>
      <t>North</t>
    </r>
    <r>
      <rPr>
        <sz val="11"/>
        <color theme="1"/>
        <rFont val="Calibri"/>
        <scheme val="minor"/>
      </rPr>
      <t xml:space="preserve"> region.</t>
    </r>
  </si>
  <si>
    <r>
      <t xml:space="preserve">2. Count the number of </t>
    </r>
    <r>
      <rPr>
        <b/>
        <sz val="11"/>
        <color theme="1"/>
        <rFont val="Calibri"/>
        <scheme val="minor"/>
      </rPr>
      <t>Electronics</t>
    </r>
    <r>
      <rPr>
        <sz val="11"/>
        <color theme="1"/>
        <rFont val="Calibri"/>
        <scheme val="minor"/>
      </rPr>
      <t xml:space="preserve"> products sold.</t>
    </r>
  </si>
  <si>
    <r>
      <t xml:space="preserve">3. Count how many orders were paid using </t>
    </r>
    <r>
      <rPr>
        <b/>
        <sz val="11"/>
        <color theme="1"/>
        <rFont val="Calibri"/>
        <scheme val="minor"/>
      </rPr>
      <t>UPI</t>
    </r>
    <r>
      <rPr>
        <sz val="11"/>
        <color theme="1"/>
        <rFont val="Calibri"/>
        <scheme val="minor"/>
      </rPr>
      <t>.</t>
    </r>
  </si>
  <si>
    <r>
      <t xml:space="preserve">4. Count the number of orders handled by </t>
    </r>
    <r>
      <rPr>
        <b/>
        <sz val="11"/>
        <color theme="1"/>
        <rFont val="Calibri"/>
        <scheme val="minor"/>
      </rPr>
      <t>Amit</t>
    </r>
    <r>
      <rPr>
        <sz val="11"/>
        <color theme="1"/>
        <rFont val="Calibri"/>
        <scheme val="minor"/>
      </rPr>
      <t>.</t>
    </r>
  </si>
  <si>
    <r>
      <t xml:space="preserve">5. Count how many orders have </t>
    </r>
    <r>
      <rPr>
        <b/>
        <sz val="11"/>
        <color theme="1"/>
        <rFont val="Calibri"/>
        <scheme val="minor"/>
      </rPr>
      <t>Quantity greater than 5</t>
    </r>
    <r>
      <rPr>
        <sz val="11"/>
        <color theme="1"/>
        <rFont val="Calibri"/>
        <scheme val="minor"/>
      </rPr>
      <t>.</t>
    </r>
  </si>
  <si>
    <t>SUMIF</t>
  </si>
  <si>
    <r>
      <t xml:space="preserve">1. Find the total Sales Amount for the </t>
    </r>
    <r>
      <rPr>
        <b/>
        <sz val="11"/>
        <color theme="1"/>
        <rFont val="Calibri"/>
        <scheme val="minor"/>
      </rPr>
      <t>North</t>
    </r>
    <r>
      <rPr>
        <sz val="11"/>
        <color theme="1"/>
        <rFont val="Calibri"/>
        <scheme val="minor"/>
      </rPr>
      <t xml:space="preserve"> region.</t>
    </r>
  </si>
  <si>
    <r>
      <t xml:space="preserve">2. Find the total Sales Amount for </t>
    </r>
    <r>
      <rPr>
        <b/>
        <sz val="11"/>
        <color theme="1"/>
        <rFont val="Calibri"/>
        <scheme val="minor"/>
      </rPr>
      <t>Electronics</t>
    </r>
    <r>
      <rPr>
        <sz val="11"/>
        <color theme="1"/>
        <rFont val="Calibri"/>
        <scheme val="minor"/>
      </rPr>
      <t>.</t>
    </r>
  </si>
  <si>
    <r>
      <t xml:space="preserve">3. Find the total Quantity sold by </t>
    </r>
    <r>
      <rPr>
        <b/>
        <sz val="11"/>
        <color theme="1"/>
        <rFont val="Calibri"/>
        <scheme val="minor"/>
      </rPr>
      <t>Rahul</t>
    </r>
    <r>
      <rPr>
        <sz val="11"/>
        <color theme="1"/>
        <rFont val="Calibri"/>
        <scheme val="minor"/>
      </rPr>
      <t>.</t>
    </r>
  </si>
  <si>
    <r>
      <t xml:space="preserve">4. Find the total Sales Amount received through </t>
    </r>
    <r>
      <rPr>
        <b/>
        <sz val="11"/>
        <color theme="1"/>
        <rFont val="Calibri"/>
        <scheme val="minor"/>
      </rPr>
      <t>Cash</t>
    </r>
    <r>
      <rPr>
        <sz val="11"/>
        <color theme="1"/>
        <rFont val="Calibri"/>
        <scheme val="minor"/>
      </rPr>
      <t>.</t>
    </r>
  </si>
  <si>
    <r>
      <t xml:space="preserve">5. Find the total Quantity of </t>
    </r>
    <r>
      <rPr>
        <b/>
        <sz val="11"/>
        <color theme="1"/>
        <rFont val="Calibri"/>
        <scheme val="minor"/>
      </rPr>
      <t>Furniture</t>
    </r>
    <r>
      <rPr>
        <sz val="11"/>
        <color theme="1"/>
        <rFont val="Calibri"/>
        <scheme val="minor"/>
      </rPr>
      <t xml:space="preserve"> items sold.</t>
    </r>
  </si>
  <si>
    <t>COUNTIFS</t>
  </si>
  <si>
    <r>
      <t xml:space="preserve">1. Count orders where Region is </t>
    </r>
    <r>
      <rPr>
        <b/>
        <sz val="11"/>
        <color theme="1"/>
        <rFont val="Calibri"/>
        <scheme val="minor"/>
      </rPr>
      <t>North</t>
    </r>
    <r>
      <rPr>
        <sz val="11"/>
        <color theme="1"/>
        <rFont val="Calibri"/>
        <scheme val="minor"/>
      </rPr>
      <t xml:space="preserve"> and Category is </t>
    </r>
    <r>
      <rPr>
        <b/>
        <sz val="11"/>
        <color theme="1"/>
        <rFont val="Calibri"/>
        <scheme val="minor"/>
      </rPr>
      <t>Electronics</t>
    </r>
    <r>
      <rPr>
        <sz val="11"/>
        <color theme="1"/>
        <rFont val="Calibri"/>
        <scheme val="minor"/>
      </rPr>
      <t>.</t>
    </r>
  </si>
  <si>
    <r>
      <t xml:space="preserve">2. Count orders where Payment Mode is </t>
    </r>
    <r>
      <rPr>
        <b/>
        <sz val="11"/>
        <color theme="1"/>
        <rFont val="Calibri"/>
        <scheme val="minor"/>
      </rPr>
      <t>Card</t>
    </r>
    <r>
      <rPr>
        <sz val="11"/>
        <color theme="1"/>
        <rFont val="Calibri"/>
        <scheme val="minor"/>
      </rPr>
      <t xml:space="preserve"> and Discount is greater than </t>
    </r>
    <r>
      <rPr>
        <b/>
        <sz val="11"/>
        <color theme="1"/>
        <rFont val="Calibri"/>
        <scheme val="minor"/>
      </rPr>
      <t>5%</t>
    </r>
    <r>
      <rPr>
        <sz val="11"/>
        <color theme="1"/>
        <rFont val="Calibri"/>
        <scheme val="minor"/>
      </rPr>
      <t>.</t>
    </r>
  </si>
  <si>
    <r>
      <t xml:space="preserve">3. Count Furniture orders in the </t>
    </r>
    <r>
      <rPr>
        <b/>
        <sz val="11"/>
        <color theme="1"/>
        <rFont val="Calibri"/>
        <scheme val="minor"/>
      </rPr>
      <t>West</t>
    </r>
    <r>
      <rPr>
        <sz val="11"/>
        <color theme="1"/>
        <rFont val="Calibri"/>
        <scheme val="minor"/>
      </rPr>
      <t xml:space="preserve"> region.</t>
    </r>
  </si>
  <si>
    <r>
      <t xml:space="preserve">4. Count Electronics orders with Quantity greater than </t>
    </r>
    <r>
      <rPr>
        <b/>
        <sz val="11"/>
        <color theme="1"/>
        <rFont val="Calibri"/>
        <scheme val="minor"/>
      </rPr>
      <t>4</t>
    </r>
    <r>
      <rPr>
        <sz val="11"/>
        <color theme="1"/>
        <rFont val="Calibri"/>
        <scheme val="minor"/>
      </rPr>
      <t>.</t>
    </r>
  </si>
  <si>
    <r>
      <t xml:space="preserve">5. Count UPI payments in the </t>
    </r>
    <r>
      <rPr>
        <b/>
        <sz val="11"/>
        <color theme="1"/>
        <rFont val="Calibri"/>
        <scheme val="minor"/>
      </rPr>
      <t>South</t>
    </r>
    <r>
      <rPr>
        <sz val="11"/>
        <color theme="1"/>
        <rFont val="Calibri"/>
        <scheme val="minor"/>
      </rPr>
      <t xml:space="preserve"> region.</t>
    </r>
  </si>
  <si>
    <t>SUMIFS</t>
  </si>
  <si>
    <r>
      <t xml:space="preserve">1. Total Sales Amount for </t>
    </r>
    <r>
      <rPr>
        <b/>
        <sz val="11"/>
        <color theme="1"/>
        <rFont val="Calibri"/>
        <scheme val="minor"/>
      </rPr>
      <t>North</t>
    </r>
    <r>
      <rPr>
        <sz val="11"/>
        <color theme="1"/>
        <rFont val="Calibri"/>
        <scheme val="minor"/>
      </rPr>
      <t xml:space="preserve"> region and </t>
    </r>
    <r>
      <rPr>
        <b/>
        <sz val="11"/>
        <color theme="1"/>
        <rFont val="Calibri"/>
        <scheme val="minor"/>
      </rPr>
      <t>Electronics</t>
    </r>
    <r>
      <rPr>
        <sz val="11"/>
        <color theme="1"/>
        <rFont val="Calibri"/>
        <scheme val="minor"/>
      </rPr>
      <t xml:space="preserve"> category.</t>
    </r>
  </si>
  <si>
    <r>
      <t xml:space="preserve">2. Total Quantity where Region is </t>
    </r>
    <r>
      <rPr>
        <b/>
        <sz val="11"/>
        <color theme="1"/>
        <rFont val="Calibri"/>
        <scheme val="minor"/>
      </rPr>
      <t>South</t>
    </r>
    <r>
      <rPr>
        <sz val="11"/>
        <color theme="1"/>
        <rFont val="Calibri"/>
        <scheme val="minor"/>
      </rPr>
      <t xml:space="preserve"> and Payment Mode is </t>
    </r>
    <r>
      <rPr>
        <b/>
        <sz val="11"/>
        <color theme="1"/>
        <rFont val="Calibri"/>
        <scheme val="minor"/>
      </rPr>
      <t>Cash</t>
    </r>
    <r>
      <rPr>
        <sz val="11"/>
        <color theme="1"/>
        <rFont val="Calibri"/>
        <scheme val="minor"/>
      </rPr>
      <t>.</t>
    </r>
  </si>
  <si>
    <r>
      <t xml:space="preserve">3. Total Sales Amount for </t>
    </r>
    <r>
      <rPr>
        <b/>
        <sz val="11"/>
        <color theme="1"/>
        <rFont val="Calibri"/>
        <scheme val="minor"/>
      </rPr>
      <t>Furniture</t>
    </r>
    <r>
      <rPr>
        <sz val="11"/>
        <color theme="1"/>
        <rFont val="Calibri"/>
        <scheme val="minor"/>
      </rPr>
      <t xml:space="preserve"> in the </t>
    </r>
    <r>
      <rPr>
        <b/>
        <sz val="11"/>
        <color theme="1"/>
        <rFont val="Calibri"/>
        <scheme val="minor"/>
      </rPr>
      <t>West</t>
    </r>
    <r>
      <rPr>
        <sz val="11"/>
        <color theme="1"/>
        <rFont val="Calibri"/>
        <scheme val="minor"/>
      </rPr>
      <t xml:space="preserve"> region.</t>
    </r>
  </si>
  <si>
    <r>
      <t xml:space="preserve">4. Total Sales Amount where Discount is </t>
    </r>
    <r>
      <rPr>
        <b/>
        <sz val="11"/>
        <color theme="1"/>
        <rFont val="Calibri"/>
        <scheme val="minor"/>
      </rPr>
      <t>10% or more</t>
    </r>
    <r>
      <rPr>
        <sz val="11"/>
        <color theme="1"/>
        <rFont val="Calibri"/>
        <scheme val="minor"/>
      </rPr>
      <t>.</t>
    </r>
  </si>
  <si>
    <r>
      <t xml:space="preserve">5. Total Quantity of </t>
    </r>
    <r>
      <rPr>
        <b/>
        <sz val="11"/>
        <color theme="1"/>
        <rFont val="Calibri"/>
        <scheme val="minor"/>
      </rPr>
      <t>Accessories</t>
    </r>
    <r>
      <rPr>
        <sz val="11"/>
        <color theme="1"/>
        <rFont val="Calibri"/>
        <scheme val="minor"/>
      </rPr>
      <t xml:space="preserve"> sold through </t>
    </r>
    <r>
      <rPr>
        <b/>
        <sz val="11"/>
        <color theme="1"/>
        <rFont val="Calibri"/>
        <scheme val="minor"/>
      </rPr>
      <t>UPI</t>
    </r>
    <r>
      <rPr>
        <sz val="11"/>
        <color theme="1"/>
        <rFont val="Calibri"/>
        <scheme val="minor"/>
      </rPr>
      <t>.</t>
    </r>
  </si>
  <si>
    <t>AVERAGEIF</t>
  </si>
  <si>
    <r>
      <t xml:space="preserve">1. Average Sales Amount for </t>
    </r>
    <r>
      <rPr>
        <b/>
        <sz val="11"/>
        <color theme="1"/>
        <rFont val="Calibri"/>
        <scheme val="minor"/>
      </rPr>
      <t>Electronics</t>
    </r>
    <r>
      <rPr>
        <sz val="11"/>
        <color theme="1"/>
        <rFont val="Calibri"/>
        <scheme val="minor"/>
      </rPr>
      <t>.</t>
    </r>
  </si>
  <si>
    <r>
      <t xml:space="preserve">2. Average Quantity sold in the </t>
    </r>
    <r>
      <rPr>
        <b/>
        <sz val="11"/>
        <color theme="1"/>
        <rFont val="Calibri"/>
        <scheme val="minor"/>
      </rPr>
      <t>North</t>
    </r>
    <r>
      <rPr>
        <sz val="11"/>
        <color theme="1"/>
        <rFont val="Calibri"/>
        <scheme val="minor"/>
      </rPr>
      <t xml:space="preserve"> region.</t>
    </r>
  </si>
  <si>
    <r>
      <t xml:space="preserve">3. Average Discount for </t>
    </r>
    <r>
      <rPr>
        <b/>
        <sz val="11"/>
        <color theme="1"/>
        <rFont val="Calibri"/>
        <scheme val="minor"/>
      </rPr>
      <t>Furniture</t>
    </r>
    <r>
      <rPr>
        <sz val="11"/>
        <color theme="1"/>
        <rFont val="Calibri"/>
        <scheme val="minor"/>
      </rPr>
      <t>.</t>
    </r>
  </si>
  <si>
    <r>
      <t xml:space="preserve">4. Average Sales Amount received through </t>
    </r>
    <r>
      <rPr>
        <b/>
        <sz val="11"/>
        <color theme="1"/>
        <rFont val="Calibri"/>
        <scheme val="minor"/>
      </rPr>
      <t>Card</t>
    </r>
    <r>
      <rPr>
        <sz val="11"/>
        <color theme="1"/>
        <rFont val="Calibri"/>
        <scheme val="minor"/>
      </rPr>
      <t xml:space="preserve"> payments.</t>
    </r>
  </si>
  <si>
    <r>
      <t xml:space="preserve">5. Average Quantity sold by </t>
    </r>
    <r>
      <rPr>
        <b/>
        <sz val="11"/>
        <color theme="1"/>
        <rFont val="Calibri"/>
        <scheme val="minor"/>
      </rPr>
      <t>Priya</t>
    </r>
    <r>
      <rPr>
        <sz val="11"/>
        <color theme="1"/>
        <rFont val="Calibri"/>
        <scheme val="minor"/>
      </rPr>
      <t>.</t>
    </r>
  </si>
  <si>
    <t>AVERAGEIFS</t>
  </si>
  <si>
    <r>
      <t xml:space="preserve">1. Average Sales Amount where Region is </t>
    </r>
    <r>
      <rPr>
        <b/>
        <sz val="11"/>
        <color theme="1"/>
        <rFont val="Calibri"/>
        <scheme val="minor"/>
      </rPr>
      <t>North</t>
    </r>
    <r>
      <rPr>
        <sz val="11"/>
        <color theme="1"/>
        <rFont val="Calibri"/>
        <scheme val="minor"/>
      </rPr>
      <t xml:space="preserve"> and Category is </t>
    </r>
    <r>
      <rPr>
        <b/>
        <sz val="11"/>
        <color theme="1"/>
        <rFont val="Calibri"/>
        <scheme val="minor"/>
      </rPr>
      <t>Electronics</t>
    </r>
    <r>
      <rPr>
        <sz val="11"/>
        <color theme="1"/>
        <rFont val="Calibri"/>
        <scheme val="minor"/>
      </rPr>
      <t>.</t>
    </r>
  </si>
  <si>
    <r>
      <t xml:space="preserve">2. Average Quantity where Payment Mode is </t>
    </r>
    <r>
      <rPr>
        <b/>
        <sz val="11"/>
        <color theme="1"/>
        <rFont val="Calibri"/>
        <scheme val="minor"/>
      </rPr>
      <t>UPI</t>
    </r>
    <r>
      <rPr>
        <sz val="11"/>
        <color theme="1"/>
        <rFont val="Calibri"/>
        <scheme val="minor"/>
      </rPr>
      <t xml:space="preserve"> and Category is </t>
    </r>
    <r>
      <rPr>
        <b/>
        <sz val="11"/>
        <color theme="1"/>
        <rFont val="Calibri"/>
        <scheme val="minor"/>
      </rPr>
      <t>Accessories</t>
    </r>
    <r>
      <rPr>
        <sz val="11"/>
        <color theme="1"/>
        <rFont val="Calibri"/>
        <scheme val="minor"/>
      </rPr>
      <t>.</t>
    </r>
  </si>
  <si>
    <r>
      <t xml:space="preserve">3. Average Discount where Region is </t>
    </r>
    <r>
      <rPr>
        <b/>
        <sz val="11"/>
        <color theme="1"/>
        <rFont val="Calibri"/>
        <scheme val="minor"/>
      </rPr>
      <t>West</t>
    </r>
    <r>
      <rPr>
        <sz val="11"/>
        <color theme="1"/>
        <rFont val="Calibri"/>
        <scheme val="minor"/>
      </rPr>
      <t xml:space="preserve"> and Category is </t>
    </r>
    <r>
      <rPr>
        <b/>
        <sz val="11"/>
        <color theme="1"/>
        <rFont val="Calibri"/>
        <scheme val="minor"/>
      </rPr>
      <t>Furniture</t>
    </r>
    <r>
      <rPr>
        <sz val="11"/>
        <color theme="1"/>
        <rFont val="Calibri"/>
        <scheme val="minor"/>
      </rPr>
      <t>.</t>
    </r>
  </si>
  <si>
    <r>
      <t xml:space="preserve">4. Average Sales Amount where Salesperson is </t>
    </r>
    <r>
      <rPr>
        <b/>
        <sz val="11"/>
        <color theme="1"/>
        <rFont val="Calibri"/>
        <scheme val="minor"/>
      </rPr>
      <t>Rahul</t>
    </r>
    <r>
      <rPr>
        <sz val="11"/>
        <color theme="1"/>
        <rFont val="Calibri"/>
        <scheme val="minor"/>
      </rPr>
      <t xml:space="preserve"> and Payment Mode is </t>
    </r>
    <r>
      <rPr>
        <b/>
        <sz val="11"/>
        <color theme="1"/>
        <rFont val="Calibri"/>
        <scheme val="minor"/>
      </rPr>
      <t>Card</t>
    </r>
    <r>
      <rPr>
        <sz val="11"/>
        <color theme="1"/>
        <rFont val="Calibri"/>
        <scheme val="minor"/>
      </rPr>
      <t>.</t>
    </r>
  </si>
  <si>
    <r>
      <t xml:space="preserve">5. Average Quantity where Category is </t>
    </r>
    <r>
      <rPr>
        <b/>
        <sz val="11"/>
        <color theme="1"/>
        <rFont val="Calibri"/>
        <scheme val="minor"/>
      </rPr>
      <t>Furniture</t>
    </r>
    <r>
      <rPr>
        <sz val="11"/>
        <color theme="1"/>
        <rFont val="Calibri"/>
        <scheme val="minor"/>
      </rPr>
      <t xml:space="preserve"> and Discount is </t>
    </r>
    <r>
      <rPr>
        <b/>
        <sz val="11"/>
        <color theme="1"/>
        <rFont val="Calibri"/>
        <scheme val="minor"/>
      </rPr>
      <t>greater than or equal to 10%</t>
    </r>
    <r>
      <rPr>
        <sz val="11"/>
        <color theme="1"/>
        <rFont val="Calibri"/>
        <scheme val="minor"/>
      </rPr>
      <t>.</t>
    </r>
  </si>
  <si>
    <t>This dataset is ideal for practicing all the IF-based Excel functions, including single-condition and multiple-condition formulas.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</si>
</sst>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8"/>
      <color theme="1"/>
      <name val="Calibri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4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22C4F-2DCB-49D9-B8EB-ED29DFED9B4A}">
  <dimension ref="A1:J71"/>
  <sheetViews>
    <sheetView tabSelected="1" workbookViewId="0">
      <selection activeCell="M11" sqref="M11"/>
    </sheetView>
  </sheetViews>
  <sheetFormatPr defaultRowHeight="14.4" x14ac:dyDescent="0.3"/>
  <cols>
    <col min="1" max="1" width="7.109375" customWidth="1"/>
    <col min="2" max="10" width="12" customWidth="1"/>
  </cols>
  <sheetData>
    <row r="1" spans="1:10" s="9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3">
        <v>46023</v>
      </c>
      <c r="C2" s="2" t="s">
        <v>11</v>
      </c>
      <c r="D2" s="2" t="s">
        <v>12</v>
      </c>
      <c r="E2" s="2" t="s">
        <v>13</v>
      </c>
      <c r="F2" s="2" t="s">
        <v>14</v>
      </c>
      <c r="G2" s="4">
        <v>2</v>
      </c>
      <c r="H2" s="4">
        <v>120000</v>
      </c>
      <c r="I2" s="4">
        <v>10</v>
      </c>
      <c r="J2" s="2" t="s">
        <v>15</v>
      </c>
    </row>
    <row r="3" spans="1:10" x14ac:dyDescent="0.3">
      <c r="A3" s="2" t="s">
        <v>16</v>
      </c>
      <c r="B3" s="3">
        <v>46024</v>
      </c>
      <c r="C3" s="2" t="s">
        <v>17</v>
      </c>
      <c r="D3" s="2" t="s">
        <v>18</v>
      </c>
      <c r="E3" s="2" t="s">
        <v>19</v>
      </c>
      <c r="F3" s="2" t="s">
        <v>14</v>
      </c>
      <c r="G3" s="4">
        <v>5</v>
      </c>
      <c r="H3" s="4">
        <v>90000</v>
      </c>
      <c r="I3" s="4">
        <v>5</v>
      </c>
      <c r="J3" s="2" t="s">
        <v>20</v>
      </c>
    </row>
    <row r="4" spans="1:10" x14ac:dyDescent="0.3">
      <c r="A4" s="2" t="s">
        <v>21</v>
      </c>
      <c r="B4" s="3">
        <v>46025</v>
      </c>
      <c r="C4" s="2" t="s">
        <v>22</v>
      </c>
      <c r="D4" s="2" t="s">
        <v>23</v>
      </c>
      <c r="E4" s="2" t="s">
        <v>24</v>
      </c>
      <c r="F4" s="2" t="s">
        <v>25</v>
      </c>
      <c r="G4" s="4">
        <v>8</v>
      </c>
      <c r="H4" s="4">
        <v>40000</v>
      </c>
      <c r="I4" s="4">
        <v>8</v>
      </c>
      <c r="J4" s="2" t="s">
        <v>26</v>
      </c>
    </row>
    <row r="5" spans="1:10" x14ac:dyDescent="0.3">
      <c r="A5" s="2" t="s">
        <v>27</v>
      </c>
      <c r="B5" s="3">
        <v>46026</v>
      </c>
      <c r="C5" s="2" t="s">
        <v>28</v>
      </c>
      <c r="D5" s="2" t="s">
        <v>29</v>
      </c>
      <c r="E5" s="2" t="s">
        <v>30</v>
      </c>
      <c r="F5" s="2" t="s">
        <v>25</v>
      </c>
      <c r="G5" s="4">
        <v>4</v>
      </c>
      <c r="H5" s="4">
        <v>36000</v>
      </c>
      <c r="I5" s="4">
        <v>12</v>
      </c>
      <c r="J5" s="2" t="s">
        <v>20</v>
      </c>
    </row>
    <row r="6" spans="1:10" x14ac:dyDescent="0.3">
      <c r="A6" s="2" t="s">
        <v>31</v>
      </c>
      <c r="B6" s="3">
        <v>46027</v>
      </c>
      <c r="C6" s="2" t="s">
        <v>11</v>
      </c>
      <c r="D6" s="2" t="s">
        <v>12</v>
      </c>
      <c r="E6" s="2" t="s">
        <v>32</v>
      </c>
      <c r="F6" s="2" t="s">
        <v>14</v>
      </c>
      <c r="G6" s="4">
        <v>3</v>
      </c>
      <c r="H6" s="4">
        <v>45000</v>
      </c>
      <c r="I6" s="4">
        <v>15</v>
      </c>
      <c r="J6" s="2" t="s">
        <v>15</v>
      </c>
    </row>
    <row r="7" spans="1:10" x14ac:dyDescent="0.3">
      <c r="A7" s="2" t="s">
        <v>33</v>
      </c>
      <c r="B7" s="3">
        <v>46028</v>
      </c>
      <c r="C7" s="2" t="s">
        <v>17</v>
      </c>
      <c r="D7" s="2" t="s">
        <v>18</v>
      </c>
      <c r="E7" s="2" t="s">
        <v>34</v>
      </c>
      <c r="F7" s="2" t="s">
        <v>25</v>
      </c>
      <c r="G7" s="4">
        <v>6</v>
      </c>
      <c r="H7" s="4">
        <v>54000</v>
      </c>
      <c r="I7" s="4">
        <v>10</v>
      </c>
      <c r="J7" s="2" t="s">
        <v>26</v>
      </c>
    </row>
    <row r="8" spans="1:10" x14ac:dyDescent="0.3">
      <c r="A8" s="2" t="s">
        <v>35</v>
      </c>
      <c r="B8" s="3">
        <v>46029</v>
      </c>
      <c r="C8" s="2" t="s">
        <v>22</v>
      </c>
      <c r="D8" s="2" t="s">
        <v>23</v>
      </c>
      <c r="E8" s="2" t="s">
        <v>36</v>
      </c>
      <c r="F8" s="2" t="s">
        <v>14</v>
      </c>
      <c r="G8" s="4">
        <v>7</v>
      </c>
      <c r="H8" s="4">
        <v>98000</v>
      </c>
      <c r="I8" s="4">
        <v>7</v>
      </c>
      <c r="J8" s="2" t="s">
        <v>20</v>
      </c>
    </row>
    <row r="9" spans="1:10" x14ac:dyDescent="0.3">
      <c r="A9" s="2" t="s">
        <v>37</v>
      </c>
      <c r="B9" s="3">
        <v>46030</v>
      </c>
      <c r="C9" s="2" t="s">
        <v>28</v>
      </c>
      <c r="D9" s="2" t="s">
        <v>29</v>
      </c>
      <c r="E9" s="2" t="s">
        <v>38</v>
      </c>
      <c r="F9" s="2" t="s">
        <v>25</v>
      </c>
      <c r="G9" s="4">
        <v>2</v>
      </c>
      <c r="H9" s="4">
        <v>70000</v>
      </c>
      <c r="I9" s="4">
        <v>5</v>
      </c>
      <c r="J9" s="2" t="s">
        <v>15</v>
      </c>
    </row>
    <row r="10" spans="1:10" x14ac:dyDescent="0.3">
      <c r="A10" s="2" t="s">
        <v>39</v>
      </c>
      <c r="B10" s="3">
        <v>46031</v>
      </c>
      <c r="C10" s="2" t="s">
        <v>11</v>
      </c>
      <c r="D10" s="2" t="s">
        <v>12</v>
      </c>
      <c r="E10" s="2" t="s">
        <v>40</v>
      </c>
      <c r="F10" s="2" t="s">
        <v>41</v>
      </c>
      <c r="G10" s="4">
        <v>15</v>
      </c>
      <c r="H10" s="4">
        <v>30000</v>
      </c>
      <c r="I10" s="4">
        <v>3</v>
      </c>
      <c r="J10" s="2" t="s">
        <v>26</v>
      </c>
    </row>
    <row r="11" spans="1:10" x14ac:dyDescent="0.3">
      <c r="A11" s="2" t="s">
        <v>42</v>
      </c>
      <c r="B11" s="3">
        <v>46032</v>
      </c>
      <c r="C11" s="2" t="s">
        <v>17</v>
      </c>
      <c r="D11" s="2" t="s">
        <v>18</v>
      </c>
      <c r="E11" s="2" t="s">
        <v>43</v>
      </c>
      <c r="F11" s="2" t="s">
        <v>41</v>
      </c>
      <c r="G11" s="4">
        <v>20</v>
      </c>
      <c r="H11" s="4">
        <v>20000</v>
      </c>
      <c r="I11" s="4">
        <v>2</v>
      </c>
      <c r="J11" s="2" t="s">
        <v>15</v>
      </c>
    </row>
    <row r="12" spans="1:10" x14ac:dyDescent="0.3">
      <c r="A12" s="2" t="s">
        <v>44</v>
      </c>
      <c r="B12" s="3">
        <v>46033</v>
      </c>
      <c r="C12" s="2" t="s">
        <v>22</v>
      </c>
      <c r="D12" s="2" t="s">
        <v>23</v>
      </c>
      <c r="E12" s="2" t="s">
        <v>13</v>
      </c>
      <c r="F12" s="2" t="s">
        <v>14</v>
      </c>
      <c r="G12" s="4">
        <v>1</v>
      </c>
      <c r="H12" s="4">
        <v>60000</v>
      </c>
      <c r="I12" s="4">
        <v>5</v>
      </c>
      <c r="J12" s="2" t="s">
        <v>20</v>
      </c>
    </row>
    <row r="13" spans="1:10" x14ac:dyDescent="0.3">
      <c r="A13" s="2" t="s">
        <v>45</v>
      </c>
      <c r="B13" s="3">
        <v>46034</v>
      </c>
      <c r="C13" s="2" t="s">
        <v>28</v>
      </c>
      <c r="D13" s="2" t="s">
        <v>29</v>
      </c>
      <c r="E13" s="2" t="s">
        <v>19</v>
      </c>
      <c r="F13" s="2" t="s">
        <v>14</v>
      </c>
      <c r="G13" s="4">
        <v>4</v>
      </c>
      <c r="H13" s="4">
        <v>72000</v>
      </c>
      <c r="I13" s="4">
        <v>8</v>
      </c>
      <c r="J13" s="2" t="s">
        <v>26</v>
      </c>
    </row>
    <row r="14" spans="1:10" x14ac:dyDescent="0.3">
      <c r="A14" s="2" t="s">
        <v>46</v>
      </c>
      <c r="B14" s="3">
        <v>46035</v>
      </c>
      <c r="C14" s="2" t="s">
        <v>11</v>
      </c>
      <c r="D14" s="2" t="s">
        <v>12</v>
      </c>
      <c r="E14" s="2" t="s">
        <v>24</v>
      </c>
      <c r="F14" s="2" t="s">
        <v>25</v>
      </c>
      <c r="G14" s="4">
        <v>10</v>
      </c>
      <c r="H14" s="4">
        <v>50000</v>
      </c>
      <c r="I14" s="4">
        <v>10</v>
      </c>
      <c r="J14" s="2" t="s">
        <v>20</v>
      </c>
    </row>
    <row r="15" spans="1:10" x14ac:dyDescent="0.3">
      <c r="A15" s="2" t="s">
        <v>47</v>
      </c>
      <c r="B15" s="3">
        <v>46036</v>
      </c>
      <c r="C15" s="2" t="s">
        <v>17</v>
      </c>
      <c r="D15" s="2" t="s">
        <v>18</v>
      </c>
      <c r="E15" s="2" t="s">
        <v>32</v>
      </c>
      <c r="F15" s="2" t="s">
        <v>14</v>
      </c>
      <c r="G15" s="4">
        <v>2</v>
      </c>
      <c r="H15" s="4">
        <v>30000</v>
      </c>
      <c r="I15" s="4">
        <v>6</v>
      </c>
      <c r="J15" s="2" t="s">
        <v>15</v>
      </c>
    </row>
    <row r="16" spans="1:10" x14ac:dyDescent="0.3">
      <c r="A16" s="2" t="s">
        <v>48</v>
      </c>
      <c r="B16" s="3">
        <v>46037</v>
      </c>
      <c r="C16" s="2" t="s">
        <v>22</v>
      </c>
      <c r="D16" s="2" t="s">
        <v>23</v>
      </c>
      <c r="E16" s="2" t="s">
        <v>34</v>
      </c>
      <c r="F16" s="2" t="s">
        <v>25</v>
      </c>
      <c r="G16" s="4">
        <v>5</v>
      </c>
      <c r="H16" s="4">
        <v>45000</v>
      </c>
      <c r="I16" s="4">
        <v>9</v>
      </c>
      <c r="J16" s="2" t="s">
        <v>26</v>
      </c>
    </row>
    <row r="17" spans="1:10" x14ac:dyDescent="0.3">
      <c r="A17" s="2" t="s">
        <v>49</v>
      </c>
      <c r="B17" s="3">
        <v>46038</v>
      </c>
      <c r="C17" s="2" t="s">
        <v>28</v>
      </c>
      <c r="D17" s="2" t="s">
        <v>29</v>
      </c>
      <c r="E17" s="2" t="s">
        <v>13</v>
      </c>
      <c r="F17" s="2" t="s">
        <v>14</v>
      </c>
      <c r="G17" s="4">
        <v>3</v>
      </c>
      <c r="H17" s="4">
        <v>180000</v>
      </c>
      <c r="I17" s="4">
        <v>15</v>
      </c>
      <c r="J17" s="2" t="s">
        <v>20</v>
      </c>
    </row>
    <row r="18" spans="1:10" x14ac:dyDescent="0.3">
      <c r="A18" s="2" t="s">
        <v>50</v>
      </c>
      <c r="B18" s="3">
        <v>46039</v>
      </c>
      <c r="C18" s="2" t="s">
        <v>11</v>
      </c>
      <c r="D18" s="2" t="s">
        <v>12</v>
      </c>
      <c r="E18" s="2" t="s">
        <v>36</v>
      </c>
      <c r="F18" s="2" t="s">
        <v>14</v>
      </c>
      <c r="G18" s="4">
        <v>6</v>
      </c>
      <c r="H18" s="4">
        <v>84000</v>
      </c>
      <c r="I18" s="4">
        <v>4</v>
      </c>
      <c r="J18" s="2" t="s">
        <v>15</v>
      </c>
    </row>
    <row r="19" spans="1:10" x14ac:dyDescent="0.3">
      <c r="A19" s="2" t="s">
        <v>51</v>
      </c>
      <c r="B19" s="3">
        <v>46040</v>
      </c>
      <c r="C19" s="2" t="s">
        <v>17</v>
      </c>
      <c r="D19" s="2" t="s">
        <v>18</v>
      </c>
      <c r="E19" s="2" t="s">
        <v>38</v>
      </c>
      <c r="F19" s="2" t="s">
        <v>25</v>
      </c>
      <c r="G19" s="4">
        <v>1</v>
      </c>
      <c r="H19" s="4">
        <v>35000</v>
      </c>
      <c r="I19" s="4">
        <v>10</v>
      </c>
      <c r="J19" s="2" t="s">
        <v>26</v>
      </c>
    </row>
    <row r="20" spans="1:10" x14ac:dyDescent="0.3">
      <c r="A20" s="2" t="s">
        <v>52</v>
      </c>
      <c r="B20" s="3">
        <v>46041</v>
      </c>
      <c r="C20" s="2" t="s">
        <v>22</v>
      </c>
      <c r="D20" s="2" t="s">
        <v>23</v>
      </c>
      <c r="E20" s="2" t="s">
        <v>43</v>
      </c>
      <c r="F20" s="2" t="s">
        <v>41</v>
      </c>
      <c r="G20" s="4">
        <v>18</v>
      </c>
      <c r="H20" s="4">
        <v>18000</v>
      </c>
      <c r="I20" s="4">
        <v>2</v>
      </c>
      <c r="J20" s="2" t="s">
        <v>20</v>
      </c>
    </row>
    <row r="21" spans="1:10" x14ac:dyDescent="0.3">
      <c r="A21" s="2" t="s">
        <v>53</v>
      </c>
      <c r="B21" s="3">
        <v>46042</v>
      </c>
      <c r="C21" s="2" t="s">
        <v>28</v>
      </c>
      <c r="D21" s="2" t="s">
        <v>29</v>
      </c>
      <c r="E21" s="2" t="s">
        <v>40</v>
      </c>
      <c r="F21" s="2" t="s">
        <v>41</v>
      </c>
      <c r="G21" s="4">
        <v>12</v>
      </c>
      <c r="H21" s="4">
        <v>24000</v>
      </c>
      <c r="I21" s="4">
        <v>5</v>
      </c>
      <c r="J21" s="2" t="s">
        <v>15</v>
      </c>
    </row>
    <row r="22" spans="1:10" x14ac:dyDescent="0.3">
      <c r="A22" s="2" t="s">
        <v>54</v>
      </c>
      <c r="B22" s="3">
        <v>46043</v>
      </c>
      <c r="C22" s="2" t="s">
        <v>11</v>
      </c>
      <c r="D22" s="2" t="s">
        <v>12</v>
      </c>
      <c r="E22" s="2" t="s">
        <v>30</v>
      </c>
      <c r="F22" s="2" t="s">
        <v>25</v>
      </c>
      <c r="G22" s="4">
        <v>5</v>
      </c>
      <c r="H22" s="4">
        <v>45000</v>
      </c>
      <c r="I22" s="4">
        <v>12</v>
      </c>
      <c r="J22" s="2" t="s">
        <v>26</v>
      </c>
    </row>
    <row r="23" spans="1:10" x14ac:dyDescent="0.3">
      <c r="A23" s="2" t="s">
        <v>55</v>
      </c>
      <c r="B23" s="3">
        <v>46044</v>
      </c>
      <c r="C23" s="2" t="s">
        <v>17</v>
      </c>
      <c r="D23" s="2" t="s">
        <v>18</v>
      </c>
      <c r="E23" s="2" t="s">
        <v>13</v>
      </c>
      <c r="F23" s="2" t="s">
        <v>14</v>
      </c>
      <c r="G23" s="4">
        <v>2</v>
      </c>
      <c r="H23" s="4">
        <v>120000</v>
      </c>
      <c r="I23" s="4">
        <v>10</v>
      </c>
      <c r="J23" s="2" t="s">
        <v>20</v>
      </c>
    </row>
    <row r="24" spans="1:10" x14ac:dyDescent="0.3">
      <c r="A24" s="2" t="s">
        <v>56</v>
      </c>
      <c r="B24" s="3">
        <v>46045</v>
      </c>
      <c r="C24" s="2" t="s">
        <v>22</v>
      </c>
      <c r="D24" s="2" t="s">
        <v>23</v>
      </c>
      <c r="E24" s="2" t="s">
        <v>19</v>
      </c>
      <c r="F24" s="2" t="s">
        <v>14</v>
      </c>
      <c r="G24" s="4">
        <v>6</v>
      </c>
      <c r="H24" s="4">
        <v>108000</v>
      </c>
      <c r="I24" s="4">
        <v>7</v>
      </c>
      <c r="J24" s="2" t="s">
        <v>15</v>
      </c>
    </row>
    <row r="25" spans="1:10" x14ac:dyDescent="0.3">
      <c r="A25" s="2" t="s">
        <v>57</v>
      </c>
      <c r="B25" s="3">
        <v>46046</v>
      </c>
      <c r="C25" s="2" t="s">
        <v>28</v>
      </c>
      <c r="D25" s="2" t="s">
        <v>29</v>
      </c>
      <c r="E25" s="2" t="s">
        <v>32</v>
      </c>
      <c r="F25" s="2" t="s">
        <v>14</v>
      </c>
      <c r="G25" s="4">
        <v>4</v>
      </c>
      <c r="H25" s="4">
        <v>60000</v>
      </c>
      <c r="I25" s="4">
        <v>5</v>
      </c>
      <c r="J25" s="2" t="s">
        <v>26</v>
      </c>
    </row>
    <row r="26" spans="1:10" x14ac:dyDescent="0.3">
      <c r="A26" s="2" t="s">
        <v>58</v>
      </c>
      <c r="B26" s="3">
        <v>46047</v>
      </c>
      <c r="C26" s="2" t="s">
        <v>11</v>
      </c>
      <c r="D26" s="2" t="s">
        <v>12</v>
      </c>
      <c r="E26" s="2" t="s">
        <v>34</v>
      </c>
      <c r="F26" s="2" t="s">
        <v>25</v>
      </c>
      <c r="G26" s="4">
        <v>7</v>
      </c>
      <c r="H26" s="4">
        <v>63000</v>
      </c>
      <c r="I26" s="4">
        <v>9</v>
      </c>
      <c r="J26" s="2" t="s">
        <v>20</v>
      </c>
    </row>
    <row r="27" spans="1:10" x14ac:dyDescent="0.3">
      <c r="A27" s="2" t="s">
        <v>59</v>
      </c>
      <c r="B27" s="3">
        <v>46048</v>
      </c>
      <c r="C27" s="2" t="s">
        <v>17</v>
      </c>
      <c r="D27" s="2" t="s">
        <v>18</v>
      </c>
      <c r="E27" s="2" t="s">
        <v>24</v>
      </c>
      <c r="F27" s="2" t="s">
        <v>25</v>
      </c>
      <c r="G27" s="4">
        <v>9</v>
      </c>
      <c r="H27" s="4">
        <v>45000</v>
      </c>
      <c r="I27" s="4">
        <v>8</v>
      </c>
      <c r="J27" s="2" t="s">
        <v>15</v>
      </c>
    </row>
    <row r="28" spans="1:10" x14ac:dyDescent="0.3">
      <c r="A28" s="2" t="s">
        <v>60</v>
      </c>
      <c r="B28" s="3">
        <v>46049</v>
      </c>
      <c r="C28" s="2" t="s">
        <v>22</v>
      </c>
      <c r="D28" s="2" t="s">
        <v>23</v>
      </c>
      <c r="E28" s="2" t="s">
        <v>36</v>
      </c>
      <c r="F28" s="2" t="s">
        <v>14</v>
      </c>
      <c r="G28" s="4">
        <v>5</v>
      </c>
      <c r="H28" s="4">
        <v>70000</v>
      </c>
      <c r="I28" s="4">
        <v>6</v>
      </c>
      <c r="J28" s="2" t="s">
        <v>26</v>
      </c>
    </row>
    <row r="29" spans="1:10" x14ac:dyDescent="0.3">
      <c r="A29" s="2" t="s">
        <v>61</v>
      </c>
      <c r="B29" s="3">
        <v>46050</v>
      </c>
      <c r="C29" s="2" t="s">
        <v>28</v>
      </c>
      <c r="D29" s="2" t="s">
        <v>29</v>
      </c>
      <c r="E29" s="2" t="s">
        <v>19</v>
      </c>
      <c r="F29" s="2" t="s">
        <v>14</v>
      </c>
      <c r="G29" s="4">
        <v>3</v>
      </c>
      <c r="H29" s="4">
        <v>54000</v>
      </c>
      <c r="I29" s="4">
        <v>4</v>
      </c>
      <c r="J29" s="2" t="s">
        <v>20</v>
      </c>
    </row>
    <row r="30" spans="1:10" x14ac:dyDescent="0.3">
      <c r="A30" s="2" t="s">
        <v>62</v>
      </c>
      <c r="B30" s="3">
        <v>46051</v>
      </c>
      <c r="C30" s="2" t="s">
        <v>11</v>
      </c>
      <c r="D30" s="2" t="s">
        <v>12</v>
      </c>
      <c r="E30" s="2" t="s">
        <v>38</v>
      </c>
      <c r="F30" s="2" t="s">
        <v>25</v>
      </c>
      <c r="G30" s="4">
        <v>2</v>
      </c>
      <c r="H30" s="4">
        <v>70000</v>
      </c>
      <c r="I30" s="4">
        <v>11</v>
      </c>
      <c r="J30" s="2" t="s">
        <v>15</v>
      </c>
    </row>
    <row r="31" spans="1:10" x14ac:dyDescent="0.3">
      <c r="A31" s="2" t="s">
        <v>63</v>
      </c>
      <c r="B31" s="3">
        <v>46052</v>
      </c>
      <c r="C31" s="2" t="s">
        <v>17</v>
      </c>
      <c r="D31" s="2" t="s">
        <v>18</v>
      </c>
      <c r="E31" s="2" t="s">
        <v>40</v>
      </c>
      <c r="F31" s="2" t="s">
        <v>41</v>
      </c>
      <c r="G31" s="4">
        <v>16</v>
      </c>
      <c r="H31" s="4">
        <v>32000</v>
      </c>
      <c r="I31" s="4">
        <v>3</v>
      </c>
      <c r="J31" s="2" t="s">
        <v>26</v>
      </c>
    </row>
    <row r="34" spans="1:6" s="8" customFormat="1" ht="28.8" x14ac:dyDescent="0.55000000000000004">
      <c r="A34" s="7" t="s">
        <v>64</v>
      </c>
    </row>
    <row r="35" spans="1:6" ht="23.4" x14ac:dyDescent="0.3">
      <c r="A35" s="5" t="s">
        <v>65</v>
      </c>
    </row>
    <row r="36" spans="1:6" x14ac:dyDescent="0.3">
      <c r="A36" s="6" t="s">
        <v>66</v>
      </c>
      <c r="F36">
        <f>COUNTIF(D2:D31, "North")</f>
        <v>8</v>
      </c>
    </row>
    <row r="37" spans="1:6" x14ac:dyDescent="0.3">
      <c r="A37" s="6" t="s">
        <v>67</v>
      </c>
      <c r="F37">
        <f>COUNTIF(F2:F31, "electronics")</f>
        <v>14</v>
      </c>
    </row>
    <row r="38" spans="1:6" x14ac:dyDescent="0.3">
      <c r="A38" s="6" t="s">
        <v>68</v>
      </c>
      <c r="F38">
        <f>COUNTIF(J2:J31, "UPI")</f>
        <v>10</v>
      </c>
    </row>
    <row r="39" spans="1:6" x14ac:dyDescent="0.3">
      <c r="A39" s="6" t="s">
        <v>69</v>
      </c>
      <c r="F39">
        <f>COUNTIF(C2:C31, "Amit")</f>
        <v>8</v>
      </c>
    </row>
    <row r="40" spans="1:6" x14ac:dyDescent="0.3">
      <c r="A40" s="6" t="s">
        <v>70</v>
      </c>
      <c r="F40">
        <f>COUNTIF(G2:G31, "&gt;5")</f>
        <v>13</v>
      </c>
    </row>
    <row r="41" spans="1:6" ht="23.4" x14ac:dyDescent="0.3">
      <c r="A41" s="5" t="s">
        <v>71</v>
      </c>
    </row>
    <row r="42" spans="1:6" x14ac:dyDescent="0.3">
      <c r="A42" s="6" t="s">
        <v>72</v>
      </c>
      <c r="F42">
        <f>SUMIF(D2:D31, "North", H2:H31)</f>
        <v>507000</v>
      </c>
    </row>
    <row r="43" spans="1:6" x14ac:dyDescent="0.3">
      <c r="A43" s="6" t="s">
        <v>73</v>
      </c>
      <c r="F43">
        <f>SUMIF(F2:F31, "Electronics", H2:H31)</f>
        <v>1191000</v>
      </c>
    </row>
    <row r="44" spans="1:6" x14ac:dyDescent="0.3">
      <c r="A44" s="6" t="s">
        <v>74</v>
      </c>
      <c r="F44">
        <f>SUMIF(C2:C31, "Rahul", G2:G31)</f>
        <v>50</v>
      </c>
    </row>
    <row r="45" spans="1:6" x14ac:dyDescent="0.3">
      <c r="A45" s="6" t="s">
        <v>75</v>
      </c>
      <c r="F45">
        <f>SUMIF(J2:J31, "Cash", H2:H31)</f>
        <v>483000</v>
      </c>
    </row>
    <row r="46" spans="1:6" x14ac:dyDescent="0.3">
      <c r="A46" s="6" t="s">
        <v>76</v>
      </c>
      <c r="F46">
        <f>SUMIF(F2:F31, "Furniture", G2:G31)</f>
        <v>59</v>
      </c>
    </row>
    <row r="47" spans="1:6" ht="23.4" x14ac:dyDescent="0.3">
      <c r="A47" s="5" t="s">
        <v>77</v>
      </c>
    </row>
    <row r="48" spans="1:6" x14ac:dyDescent="0.3">
      <c r="A48" s="6" t="s">
        <v>78</v>
      </c>
    </row>
    <row r="49" spans="1:1" x14ac:dyDescent="0.3">
      <c r="A49" s="6" t="s">
        <v>79</v>
      </c>
    </row>
    <row r="50" spans="1:1" x14ac:dyDescent="0.3">
      <c r="A50" s="6" t="s">
        <v>80</v>
      </c>
    </row>
    <row r="51" spans="1:1" x14ac:dyDescent="0.3">
      <c r="A51" s="6" t="s">
        <v>81</v>
      </c>
    </row>
    <row r="52" spans="1:1" x14ac:dyDescent="0.3">
      <c r="A52" s="6" t="s">
        <v>82</v>
      </c>
    </row>
    <row r="53" spans="1:1" ht="23.4" x14ac:dyDescent="0.3">
      <c r="A53" s="5" t="s">
        <v>83</v>
      </c>
    </row>
    <row r="54" spans="1:1" x14ac:dyDescent="0.3">
      <c r="A54" s="6" t="s">
        <v>84</v>
      </c>
    </row>
    <row r="55" spans="1:1" x14ac:dyDescent="0.3">
      <c r="A55" s="6" t="s">
        <v>85</v>
      </c>
    </row>
    <row r="56" spans="1:1" x14ac:dyDescent="0.3">
      <c r="A56" s="6" t="s">
        <v>86</v>
      </c>
    </row>
    <row r="57" spans="1:1" x14ac:dyDescent="0.3">
      <c r="A57" s="6" t="s">
        <v>87</v>
      </c>
    </row>
    <row r="58" spans="1:1" x14ac:dyDescent="0.3">
      <c r="A58" s="6" t="s">
        <v>88</v>
      </c>
    </row>
    <row r="59" spans="1:1" ht="23.4" x14ac:dyDescent="0.3">
      <c r="A59" s="5" t="s">
        <v>89</v>
      </c>
    </row>
    <row r="60" spans="1:1" x14ac:dyDescent="0.3">
      <c r="A60" s="6" t="s">
        <v>90</v>
      </c>
    </row>
    <row r="61" spans="1:1" x14ac:dyDescent="0.3">
      <c r="A61" s="6" t="s">
        <v>91</v>
      </c>
    </row>
    <row r="62" spans="1:1" x14ac:dyDescent="0.3">
      <c r="A62" s="6" t="s">
        <v>92</v>
      </c>
    </row>
    <row r="63" spans="1:1" x14ac:dyDescent="0.3">
      <c r="A63" s="6" t="s">
        <v>93</v>
      </c>
    </row>
    <row r="64" spans="1:1" x14ac:dyDescent="0.3">
      <c r="A64" s="6" t="s">
        <v>94</v>
      </c>
    </row>
    <row r="65" spans="1:1" ht="23.4" x14ac:dyDescent="0.3">
      <c r="A65" s="5" t="s">
        <v>95</v>
      </c>
    </row>
    <row r="66" spans="1:1" x14ac:dyDescent="0.3">
      <c r="A66" s="6" t="s">
        <v>96</v>
      </c>
    </row>
    <row r="67" spans="1:1" x14ac:dyDescent="0.3">
      <c r="A67" s="6" t="s">
        <v>97</v>
      </c>
    </row>
    <row r="68" spans="1:1" x14ac:dyDescent="0.3">
      <c r="A68" s="6" t="s">
        <v>98</v>
      </c>
    </row>
    <row r="69" spans="1:1" x14ac:dyDescent="0.3">
      <c r="A69" s="6" t="s">
        <v>99</v>
      </c>
    </row>
    <row r="70" spans="1:1" x14ac:dyDescent="0.3">
      <c r="A70" s="6" t="s">
        <v>100</v>
      </c>
    </row>
    <row r="71" spans="1:1" x14ac:dyDescent="0.3">
      <c r="A71" t="s">
        <v>101</v>
      </c>
    </row>
  </sheetData>
  <autoFilter ref="A1:J31" xr:uid="{F0F22C4F-2DCB-49D9-B8EB-ED29DFED9B4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Manish Gavhale</cp:lastModifiedBy>
  <dcterms:created xsi:type="dcterms:W3CDTF">2026-06-23T05:44:39Z</dcterms:created>
  <dcterms:modified xsi:type="dcterms:W3CDTF">2026-06-25T18:22:14Z</dcterms:modified>
</cp:coreProperties>
</file>